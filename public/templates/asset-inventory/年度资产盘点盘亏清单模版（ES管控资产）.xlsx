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40" tabRatio="545"/>
  </bookViews>
  <sheets>
    <sheet name="盘点结果比较分析" sheetId="40" r:id="rId1"/>
    <sheet name="盘亏资产明细及原因" sheetId="41" r:id="rId2"/>
  </sheets>
  <definedNames>
    <definedName name="_09年遗留的非正常离职待处理资产" localSheetId="1">#REF!</definedName>
    <definedName name="_09年遗留的非正常离职待处理资产">#REF!</definedName>
    <definedName name="_xlnm._FilterDatabase" localSheetId="1" hidden="1">盘亏资产明细及原因!#REF!</definedName>
    <definedName name="_xlnm.Print_Area" localSheetId="1">盘亏资产明细及原因!$A$1:$T$13</definedName>
    <definedName name="不能确认盘亏的待查资产" localSheetId="1">#REF!</definedName>
    <definedName name="不能确认盘亏的待查资产">#REF!</definedName>
    <definedName name="盘点报告盘亏" localSheetId="1">#REF!</definedName>
    <definedName name="盘点报告盘亏">#REF!</definedName>
    <definedName name="未计入盘点报告的盘亏" localSheetId="1">#REF!</definedName>
    <definedName name="未计入盘点报告的盘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<sst xmlns="http://schemas.openxmlformats.org/spreadsheetml/2006/main" count="166" uniqueCount="106">
  <si>
    <t>2025年资产盘点情况汇总（ES管控资产）</t>
  </si>
  <si>
    <r>
      <rPr>
        <b/>
        <sz val="10"/>
        <color theme="1"/>
        <rFont val="微软雅黑"/>
        <charset val="134"/>
      </rPr>
      <t>一、</t>
    </r>
  </si>
  <si>
    <t>资产变化范围：</t>
  </si>
  <si>
    <t>资产变化周期：2024年7月-2025年7月</t>
  </si>
  <si>
    <t>资产盘点类别：电脑（笔记本、主机、显示器）、办公设备、车辆、电话（注：楼宇、装修、家具及软件不在盘点范围内）</t>
  </si>
  <si>
    <t>二、</t>
  </si>
  <si>
    <t>盘点情况数据及分析：</t>
  </si>
  <si>
    <t>1.</t>
  </si>
  <si>
    <t>2025年资产盘点情况汇总：盘亏资产***件，盘亏资产净值***元。</t>
  </si>
  <si>
    <t>资产情况</t>
  </si>
  <si>
    <t>资产管控方</t>
  </si>
  <si>
    <t>数量</t>
  </si>
  <si>
    <t>原值</t>
  </si>
  <si>
    <t>净值（截止至2025年6月）</t>
  </si>
  <si>
    <t>数量（件）</t>
  </si>
  <si>
    <t>在全部盘点资产中占比</t>
  </si>
  <si>
    <t>金额（元）</t>
  </si>
  <si>
    <t>全部盘点资产</t>
  </si>
  <si>
    <t>不包含分公司（非16板块），看资产卡片上的数量，不是资产卡片数</t>
  </si>
  <si>
    <t>固定100%</t>
  </si>
  <si>
    <t>EBS原值</t>
  </si>
  <si>
    <t>截止6月30日23：59：59的净值</t>
  </si>
  <si>
    <t>盘亏资产</t>
  </si>
  <si>
    <t>ES</t>
  </si>
  <si>
    <t>报失数量（资产卡片上的数量）</t>
  </si>
  <si>
    <t>待查资产（也加超链汇总）</t>
  </si>
  <si>
    <t>未盘状态的资产卡片上数量</t>
  </si>
  <si>
    <t>备注</t>
  </si>
  <si>
    <t>空着</t>
  </si>
  <si>
    <t>2.</t>
  </si>
  <si>
    <t>四年盘点数据对比：盘亏资产数量较上一年度增加/减少***件，同比上涨/下降***%（看好不好实现，不好实现可以不动）</t>
  </si>
  <si>
    <t>年份</t>
  </si>
  <si>
    <t>全部盘点资产情况</t>
  </si>
  <si>
    <t>盘亏数量情况</t>
  </si>
  <si>
    <r>
      <rPr>
        <sz val="11"/>
        <color theme="1"/>
        <rFont val="微软雅黑"/>
        <charset val="134"/>
      </rPr>
      <t>盘亏原值情况</t>
    </r>
  </si>
  <si>
    <t>盘亏净值情况</t>
  </si>
  <si>
    <t>盘点总数量(件)</t>
  </si>
  <si>
    <t>盘点总原值(元)</t>
  </si>
  <si>
    <t>盘点总净值(元)</t>
  </si>
  <si>
    <t>2022年</t>
  </si>
  <si>
    <t>待ES给往年数据，之后新一年跟前一年做比较</t>
  </si>
  <si>
    <t>2023年</t>
  </si>
  <si>
    <t>2024年</t>
  </si>
  <si>
    <t>2025年</t>
  </si>
  <si>
    <t>3.</t>
  </si>
  <si>
    <t>2025年资产盘亏统计：</t>
  </si>
  <si>
    <t>资产类别</t>
  </si>
  <si>
    <t>盘点年份</t>
  </si>
  <si>
    <t>盘亏资产数量(件)</t>
  </si>
  <si>
    <t>盘亏资产原值(元)</t>
  </si>
  <si>
    <t>盘亏资产净值(元)</t>
  </si>
  <si>
    <t>台式机、显示器（PC）</t>
  </si>
  <si>
    <t>待ES给出往年数据</t>
  </si>
  <si>
    <t>全用会计格式，小数点后两位，涉及原值和净值</t>
  </si>
  <si>
    <t>笔记本(NB)</t>
  </si>
  <si>
    <t>照摄像器材（资产小类A是摄影摄像和数码配件不包含数码配给-组装零件、数码配件-影棚灯|灯架）</t>
  </si>
  <si>
    <t>移动数码（资产小类A带移动数据）</t>
  </si>
  <si>
    <t>办公设备（OE里除了照摄像器材和移动数码外，包含数码配给-组装零件、数码配件-影棚灯|灯架）</t>
  </si>
  <si>
    <t>电话（Net.E电话）</t>
  </si>
  <si>
    <t>车辆（vec）</t>
  </si>
  <si>
    <t>三、</t>
  </si>
  <si>
    <t>2025年资产变化情况概述：2024-2025年盘点范围内各类资产增量情况</t>
  </si>
  <si>
    <t>资产大类</t>
  </si>
  <si>
    <t>资产细类</t>
  </si>
  <si>
    <t>汇总</t>
  </si>
  <si>
    <t>台式机</t>
  </si>
  <si>
    <t>PC-主机</t>
  </si>
  <si>
    <t>按照资产小类A汇总数量</t>
  </si>
  <si>
    <t>待ES给26年数据</t>
  </si>
  <si>
    <t>PC-显示器</t>
  </si>
  <si>
    <t>要做差值计算</t>
  </si>
  <si>
    <t>PC-配件</t>
  </si>
  <si>
    <t>出上述两种外</t>
  </si>
  <si>
    <t>Sub-total</t>
  </si>
  <si>
    <t>笔记本</t>
  </si>
  <si>
    <t>笔记本-配件</t>
  </si>
  <si>
    <t>办公设备</t>
  </si>
  <si>
    <t>移动数码</t>
  </si>
  <si>
    <t>照摄像器材</t>
  </si>
  <si>
    <t>车辆</t>
  </si>
  <si>
    <t>合计</t>
  </si>
  <si>
    <r>
      <t>2025年</t>
    </r>
    <r>
      <rPr>
        <b/>
        <sz val="12"/>
        <color theme="1"/>
        <rFont val="微软雅黑"/>
        <charset val="134"/>
      </rPr>
      <t>度资产盘点盘亏及待查统计（ES管控资产）</t>
    </r>
  </si>
  <si>
    <t>序号</t>
  </si>
  <si>
    <t>盘点状态</t>
  </si>
  <si>
    <t>资产小类</t>
  </si>
  <si>
    <t>资产说明</t>
  </si>
  <si>
    <t>报失当月
资产净值</t>
  </si>
  <si>
    <t>是否
已赔偿</t>
  </si>
  <si>
    <t>赔偿金额
（以丢失当月净值赔付）</t>
  </si>
  <si>
    <t>损失</t>
  </si>
  <si>
    <t>标签号</t>
  </si>
  <si>
    <t>购买日期</t>
  </si>
  <si>
    <t>责任人姓名</t>
  </si>
  <si>
    <t>责任人编号</t>
  </si>
  <si>
    <t>子公司</t>
  </si>
  <si>
    <t>一级部门</t>
  </si>
  <si>
    <t>说明</t>
  </si>
  <si>
    <t>盘亏</t>
  </si>
  <si>
    <t>可以空着</t>
  </si>
  <si>
    <t>启用日期</t>
  </si>
  <si>
    <t>搜狐媒体/集团总部/焦点/视频</t>
  </si>
  <si>
    <t>ERP部</t>
  </si>
  <si>
    <t>资产盘亏合计</t>
  </si>
  <si>
    <t>待查</t>
  </si>
  <si>
    <t>资产待查合计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</si>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</sst>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_ * #,##0_ ;_ * \-#,##0_ ;_ * &quot;-&quot;??_ ;_ @_ "/>
    <numFmt numFmtId="178" formatCode="0.000%"/>
  </numFmts>
  <fonts count="4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8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9"/>
      <color indexed="8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9"/>
      <color rgb="FFC00000"/>
      <name val="微软雅黑"/>
      <charset val="134"/>
    </font>
    <font>
      <b/>
      <sz val="9"/>
      <color rgb="FFFF000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微软雅黑"/>
      <charset val="134"/>
    </font>
    <font>
      <u/>
      <sz val="11"/>
      <color rgb="FF800080"/>
      <name val="宋体"/>
      <charset val="134"/>
      <scheme val="minor"/>
    </font>
    <font>
      <sz val="10"/>
      <name val="微软雅黑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10"/>
      <name val="Geneva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1" applyNumberFormat="0" applyAlignment="0" applyProtection="0">
      <alignment vertical="center"/>
    </xf>
    <xf numFmtId="0" fontId="30" fillId="9" borderId="12" applyNumberFormat="0" applyAlignment="0" applyProtection="0">
      <alignment vertical="center"/>
    </xf>
    <xf numFmtId="0" fontId="31" fillId="9" borderId="11" applyNumberFormat="0" applyAlignment="0" applyProtection="0">
      <alignment vertical="center"/>
    </xf>
    <xf numFmtId="0" fontId="32" fillId="10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0" borderId="0">
      <alignment vertical="center"/>
    </xf>
    <xf numFmtId="0" fontId="0" fillId="0" borderId="0">
      <alignment vertical="center"/>
    </xf>
    <xf numFmtId="0" fontId="41" fillId="0" borderId="0">
      <alignment vertical="center"/>
    </xf>
    <xf numFmtId="0" fontId="0" fillId="0" borderId="0">
      <alignment vertical="center"/>
    </xf>
    <xf numFmtId="0" fontId="41" fillId="0" borderId="0">
      <alignment vertical="center"/>
    </xf>
    <xf numFmtId="0" fontId="0" fillId="0" borderId="0"/>
    <xf numFmtId="0" fontId="40" fillId="0" borderId="0"/>
    <xf numFmtId="0" fontId="40" fillId="0" borderId="0">
      <alignment vertical="center"/>
    </xf>
    <xf numFmtId="0" fontId="0" fillId="0" borderId="0">
      <alignment vertical="center"/>
    </xf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2" fillId="0" borderId="0"/>
  </cellStyleXfs>
  <cellXfs count="176">
    <xf numFmtId="0" fontId="0" fillId="0" borderId="0" xfId="0">
      <alignment vertical="center"/>
    </xf>
    <xf numFmtId="0" fontId="1" fillId="2" borderId="0" xfId="53" applyFont="1" applyFill="1" applyAlignment="1">
      <alignment horizontal="left" vertical="center"/>
    </xf>
    <xf numFmtId="0" fontId="1" fillId="3" borderId="0" xfId="56" applyFont="1" applyFill="1" applyAlignment="1">
      <alignment horizontal="left" vertical="center"/>
    </xf>
    <xf numFmtId="0" fontId="2" fillId="3" borderId="0" xfId="56" applyFont="1" applyFill="1" applyAlignment="1">
      <alignment horizontal="left" vertical="center"/>
    </xf>
    <xf numFmtId="0" fontId="3" fillId="3" borderId="0" xfId="53" applyFont="1" applyFill="1" applyAlignment="1">
      <alignment horizontal="center" vertical="center"/>
    </xf>
    <xf numFmtId="0" fontId="3" fillId="3" borderId="0" xfId="53" applyNumberFormat="1" applyFont="1" applyFill="1" applyAlignment="1">
      <alignment horizontal="center" vertical="center"/>
    </xf>
    <xf numFmtId="41" fontId="3" fillId="3" borderId="0" xfId="53" applyNumberFormat="1" applyFont="1" applyFill="1" applyAlignment="1">
      <alignment horizontal="right" vertical="center"/>
    </xf>
    <xf numFmtId="41" fontId="3" fillId="3" borderId="0" xfId="53" applyNumberFormat="1" applyFont="1" applyFill="1" applyAlignment="1">
      <alignment horizontal="left" vertical="center"/>
    </xf>
    <xf numFmtId="41" fontId="3" fillId="3" borderId="0" xfId="53" applyNumberFormat="1" applyFont="1" applyFill="1" applyAlignment="1">
      <alignment horizontal="center" vertical="center"/>
    </xf>
    <xf numFmtId="1" fontId="3" fillId="3" borderId="0" xfId="53" applyNumberFormat="1" applyFont="1" applyFill="1" applyAlignment="1">
      <alignment horizontal="center" vertical="center"/>
    </xf>
    <xf numFmtId="14" fontId="3" fillId="3" borderId="0" xfId="53" applyNumberFormat="1" applyFont="1" applyFill="1" applyAlignment="1">
      <alignment horizontal="center" vertical="center"/>
    </xf>
    <xf numFmtId="0" fontId="3" fillId="3" borderId="0" xfId="53" applyFont="1" applyFill="1" applyAlignment="1">
      <alignment horizontal="left" vertical="center"/>
    </xf>
    <xf numFmtId="0" fontId="3" fillId="3" borderId="0" xfId="53" applyNumberFormat="1" applyFont="1" applyFill="1" applyAlignment="1">
      <alignment vertical="center" wrapText="1"/>
    </xf>
    <xf numFmtId="0" fontId="3" fillId="3" borderId="0" xfId="53" applyNumberFormat="1" applyFont="1" applyFill="1" applyAlignment="1">
      <alignment horizontal="left" vertical="center" wrapText="1"/>
    </xf>
    <xf numFmtId="0" fontId="4" fillId="3" borderId="0" xfId="52" applyFont="1" applyFill="1" applyAlignment="1">
      <alignment horizontal="left" vertical="center"/>
    </xf>
    <xf numFmtId="0" fontId="5" fillId="4" borderId="1" xfId="53" applyFont="1" applyFill="1" applyBorder="1" applyAlignment="1">
      <alignment horizontal="center" vertical="center"/>
    </xf>
    <xf numFmtId="176" fontId="5" fillId="4" borderId="1" xfId="53" applyNumberFormat="1" applyFont="1" applyFill="1" applyBorder="1" applyAlignment="1">
      <alignment horizontal="center" vertical="center"/>
    </xf>
    <xf numFmtId="0" fontId="5" fillId="4" borderId="1" xfId="53" applyNumberFormat="1" applyFont="1" applyFill="1" applyBorder="1" applyAlignment="1">
      <alignment horizontal="center" vertical="center"/>
    </xf>
    <xf numFmtId="41" fontId="5" fillId="4" borderId="1" xfId="73" applyNumberFormat="1" applyFont="1" applyFill="1" applyBorder="1" applyAlignment="1">
      <alignment horizontal="center" vertical="center"/>
    </xf>
    <xf numFmtId="41" fontId="6" fillId="4" borderId="1" xfId="53" applyNumberFormat="1" applyFont="1" applyFill="1" applyBorder="1" applyAlignment="1">
      <alignment horizontal="center" vertical="center" wrapText="1"/>
    </xf>
    <xf numFmtId="0" fontId="6" fillId="4" borderId="1" xfId="53" applyFont="1" applyFill="1" applyBorder="1" applyAlignment="1">
      <alignment horizontal="center" vertical="center" wrapText="1"/>
    </xf>
    <xf numFmtId="41" fontId="5" fillId="4" borderId="1" xfId="73" applyNumberFormat="1" applyFont="1" applyFill="1" applyBorder="1" applyAlignment="1">
      <alignment horizontal="center" vertical="center" wrapText="1"/>
    </xf>
    <xf numFmtId="1" fontId="5" fillId="4" borderId="1" xfId="53" applyNumberFormat="1" applyFont="1" applyFill="1" applyBorder="1" applyAlignment="1">
      <alignment horizontal="center" vertical="center"/>
    </xf>
    <xf numFmtId="14" fontId="5" fillId="4" borderId="1" xfId="53" applyNumberFormat="1" applyFont="1" applyFill="1" applyBorder="1" applyAlignment="1">
      <alignment horizontal="center" vertical="center"/>
    </xf>
    <xf numFmtId="0" fontId="5" fillId="4" borderId="1" xfId="53" applyFont="1" applyFill="1" applyBorder="1" applyAlignment="1">
      <alignment horizontal="center" vertical="center" wrapText="1"/>
    </xf>
    <xf numFmtId="0" fontId="7" fillId="2" borderId="1" xfId="56" applyFont="1" applyFill="1" applyBorder="1" applyAlignment="1">
      <alignment horizontal="center" vertical="center"/>
    </xf>
    <xf numFmtId="0" fontId="1" fillId="2" borderId="1" xfId="53" applyNumberFormat="1" applyFont="1" applyFill="1" applyBorder="1" applyAlignment="1">
      <alignment horizontal="center" vertical="center"/>
    </xf>
    <xf numFmtId="0" fontId="1" fillId="3" borderId="1" xfId="56" applyFont="1" applyFill="1" applyBorder="1" applyAlignment="1">
      <alignment horizontal="left" vertical="center"/>
    </xf>
    <xf numFmtId="0" fontId="7" fillId="2" borderId="1" xfId="56" applyNumberFormat="1" applyFont="1" applyFill="1" applyBorder="1" applyAlignment="1">
      <alignment horizontal="center" vertical="center"/>
    </xf>
    <xf numFmtId="41" fontId="7" fillId="2" borderId="1" xfId="56" applyNumberFormat="1" applyFont="1" applyFill="1" applyBorder="1" applyAlignment="1">
      <alignment horizontal="right" vertical="center"/>
    </xf>
    <xf numFmtId="1" fontId="1" fillId="3" borderId="1" xfId="56" applyNumberFormat="1" applyFont="1" applyFill="1" applyBorder="1" applyAlignment="1">
      <alignment horizontal="center" vertical="center"/>
    </xf>
    <xf numFmtId="14" fontId="7" fillId="2" borderId="1" xfId="56" applyNumberFormat="1" applyFont="1" applyFill="1" applyBorder="1" applyAlignment="1">
      <alignment horizontal="center" vertical="center"/>
    </xf>
    <xf numFmtId="0" fontId="1" fillId="3" borderId="1" xfId="56" applyNumberFormat="1" applyFont="1" applyFill="1" applyBorder="1" applyAlignment="1">
      <alignment horizontal="center" vertical="center"/>
    </xf>
    <xf numFmtId="0" fontId="1" fillId="3" borderId="1" xfId="56" applyFont="1" applyFill="1" applyBorder="1" applyAlignment="1">
      <alignment horizontal="center" vertical="center"/>
    </xf>
    <xf numFmtId="0" fontId="1" fillId="2" borderId="1" xfId="56" applyFont="1" applyFill="1" applyBorder="1" applyAlignment="1">
      <alignment horizontal="center" vertical="center"/>
    </xf>
    <xf numFmtId="0" fontId="7" fillId="2" borderId="1" xfId="56" applyFont="1" applyFill="1" applyBorder="1">
      <alignment vertical="center"/>
    </xf>
    <xf numFmtId="41" fontId="2" fillId="2" borderId="1" xfId="73" applyNumberFormat="1" applyFont="1" applyFill="1" applyBorder="1" applyAlignment="1">
      <alignment horizontal="center" vertical="center"/>
    </xf>
    <xf numFmtId="0" fontId="6" fillId="4" borderId="2" xfId="56" applyFont="1" applyFill="1" applyBorder="1" applyAlignment="1">
      <alignment horizontal="left" vertical="center"/>
    </xf>
    <xf numFmtId="0" fontId="6" fillId="4" borderId="3" xfId="56" applyFont="1" applyFill="1" applyBorder="1" applyAlignment="1">
      <alignment horizontal="left" vertical="center"/>
    </xf>
    <xf numFmtId="0" fontId="6" fillId="4" borderId="1" xfId="56" applyFont="1" applyFill="1" applyBorder="1" applyAlignment="1">
      <alignment horizontal="left" vertical="center"/>
    </xf>
    <xf numFmtId="176" fontId="8" fillId="4" borderId="1" xfId="56" applyNumberFormat="1" applyFont="1" applyFill="1" applyBorder="1" applyAlignment="1">
      <alignment horizontal="left" vertical="center"/>
    </xf>
    <xf numFmtId="0" fontId="6" fillId="4" borderId="1" xfId="56" applyNumberFormat="1" applyFont="1" applyFill="1" applyBorder="1" applyAlignment="1">
      <alignment horizontal="center" vertical="center"/>
    </xf>
    <xf numFmtId="41" fontId="6" fillId="4" borderId="1" xfId="56" applyNumberFormat="1" applyFont="1" applyFill="1" applyBorder="1" applyAlignment="1">
      <alignment vertical="center"/>
    </xf>
    <xf numFmtId="43" fontId="6" fillId="4" borderId="1" xfId="56" applyNumberFormat="1" applyFont="1" applyFill="1" applyBorder="1" applyAlignment="1">
      <alignment horizontal="center" vertical="center"/>
    </xf>
    <xf numFmtId="1" fontId="6" fillId="4" borderId="1" xfId="56" applyNumberFormat="1" applyFont="1" applyFill="1" applyBorder="1" applyAlignment="1">
      <alignment horizontal="center" vertical="center"/>
    </xf>
    <xf numFmtId="14" fontId="6" fillId="4" borderId="1" xfId="56" applyNumberFormat="1" applyFont="1" applyFill="1" applyBorder="1" applyAlignment="1">
      <alignment horizontal="left" vertical="center"/>
    </xf>
    <xf numFmtId="0" fontId="6" fillId="4" borderId="1" xfId="56" applyNumberFormat="1" applyFont="1" applyFill="1" applyBorder="1" applyAlignment="1">
      <alignment horizontal="left" vertical="center"/>
    </xf>
    <xf numFmtId="0" fontId="6" fillId="4" borderId="1" xfId="56" applyFont="1" applyFill="1" applyBorder="1" applyAlignment="1">
      <alignment horizontal="center" vertical="center"/>
    </xf>
    <xf numFmtId="0" fontId="6" fillId="4" borderId="1" xfId="56" applyFont="1" applyFill="1" applyBorder="1" applyAlignment="1">
      <alignment vertical="center" wrapText="1"/>
    </xf>
    <xf numFmtId="0" fontId="6" fillId="4" borderId="1" xfId="56" applyFont="1" applyFill="1" applyBorder="1" applyAlignment="1">
      <alignment horizontal="left" vertical="center" wrapText="1"/>
    </xf>
    <xf numFmtId="0" fontId="1" fillId="3" borderId="0" xfId="53" applyFont="1" applyFill="1" applyAlignment="1">
      <alignment horizontal="left" vertical="center"/>
    </xf>
    <xf numFmtId="0" fontId="9" fillId="2" borderId="1" xfId="53" applyNumberFormat="1" applyFont="1" applyFill="1" applyBorder="1" applyAlignment="1">
      <alignment horizontal="center" vertical="center"/>
    </xf>
    <xf numFmtId="176" fontId="8" fillId="4" borderId="1" xfId="56" applyNumberFormat="1" applyFont="1" applyFill="1" applyBorder="1" applyAlignment="1">
      <alignment horizontal="center" vertical="center"/>
    </xf>
    <xf numFmtId="0" fontId="10" fillId="4" borderId="2" xfId="56" applyFont="1" applyFill="1" applyBorder="1" applyAlignment="1">
      <alignment vertical="center"/>
    </xf>
    <xf numFmtId="0" fontId="10" fillId="4" borderId="4" xfId="56" applyFont="1" applyFill="1" applyBorder="1" applyAlignment="1">
      <alignment vertical="center"/>
    </xf>
    <xf numFmtId="0" fontId="10" fillId="4" borderId="3" xfId="56" applyFont="1" applyFill="1" applyBorder="1" applyAlignment="1">
      <alignment vertical="center"/>
    </xf>
    <xf numFmtId="0" fontId="10" fillId="4" borderId="3" xfId="56" applyFont="1" applyFill="1" applyBorder="1" applyAlignment="1">
      <alignment horizontal="left" vertical="center"/>
    </xf>
    <xf numFmtId="176" fontId="2" fillId="4" borderId="1" xfId="56" applyNumberFormat="1" applyFont="1" applyFill="1" applyBorder="1" applyAlignment="1">
      <alignment horizontal="center" vertical="center"/>
    </xf>
    <xf numFmtId="41" fontId="10" fillId="4" borderId="1" xfId="56" applyNumberFormat="1" applyFont="1" applyFill="1" applyBorder="1" applyAlignment="1">
      <alignment vertical="center"/>
    </xf>
    <xf numFmtId="1" fontId="11" fillId="4" borderId="1" xfId="56" applyNumberFormat="1" applyFont="1" applyFill="1" applyBorder="1" applyAlignment="1">
      <alignment horizontal="center" vertical="center"/>
    </xf>
    <xf numFmtId="14" fontId="11" fillId="4" borderId="1" xfId="56" applyNumberFormat="1" applyFont="1" applyFill="1" applyBorder="1" applyAlignment="1">
      <alignment horizontal="left" vertical="center"/>
    </xf>
    <xf numFmtId="0" fontId="11" fillId="4" borderId="1" xfId="56" applyNumberFormat="1" applyFont="1" applyFill="1" applyBorder="1" applyAlignment="1">
      <alignment horizontal="left" vertical="center"/>
    </xf>
    <xf numFmtId="0" fontId="11" fillId="4" borderId="1" xfId="56" applyFont="1" applyFill="1" applyBorder="1" applyAlignment="1">
      <alignment horizontal="left" vertical="center"/>
    </xf>
    <xf numFmtId="0" fontId="11" fillId="4" borderId="1" xfId="56" applyFont="1" applyFill="1" applyBorder="1" applyAlignment="1">
      <alignment horizontal="center" vertical="center"/>
    </xf>
    <xf numFmtId="0" fontId="11" fillId="4" borderId="1" xfId="56" applyFont="1" applyFill="1" applyBorder="1" applyAlignment="1">
      <alignment vertical="center" wrapText="1"/>
    </xf>
    <xf numFmtId="0" fontId="11" fillId="4" borderId="1" xfId="56" applyFont="1" applyFill="1" applyBorder="1" applyAlignment="1">
      <alignment horizontal="left" vertical="center" wrapText="1"/>
    </xf>
    <xf numFmtId="43" fontId="12" fillId="3" borderId="0" xfId="62" applyNumberFormat="1" applyFont="1" applyFill="1">
      <alignment vertical="center"/>
    </xf>
    <xf numFmtId="43" fontId="13" fillId="3" borderId="0" xfId="62" applyNumberFormat="1" applyFont="1" applyFill="1">
      <alignment vertical="center"/>
    </xf>
    <xf numFmtId="43" fontId="14" fillId="3" borderId="0" xfId="62" applyNumberFormat="1" applyFont="1" applyFill="1" applyAlignment="1">
      <alignment horizontal="center" vertical="center"/>
    </xf>
    <xf numFmtId="43" fontId="14" fillId="3" borderId="0" xfId="62" applyNumberFormat="1" applyFont="1" applyFill="1">
      <alignment vertical="center"/>
    </xf>
    <xf numFmtId="43" fontId="14" fillId="3" borderId="0" xfId="62" applyNumberFormat="1" applyFont="1" applyFill="1" applyAlignment="1">
      <alignment horizontal="right" vertical="center"/>
    </xf>
    <xf numFmtId="43" fontId="15" fillId="3" borderId="0" xfId="62" applyNumberFormat="1" applyFont="1" applyFill="1" applyAlignment="1">
      <alignment horizontal="left" vertical="top"/>
    </xf>
    <xf numFmtId="43" fontId="12" fillId="3" borderId="0" xfId="62" applyNumberFormat="1" applyFont="1" applyFill="1" applyAlignment="1">
      <alignment horizontal="center" vertical="center"/>
    </xf>
    <xf numFmtId="43" fontId="16" fillId="3" borderId="0" xfId="62" applyNumberFormat="1" applyFont="1" applyFill="1">
      <alignment vertical="center"/>
    </xf>
    <xf numFmtId="43" fontId="12" fillId="3" borderId="0" xfId="62" applyNumberFormat="1" applyFont="1" applyFill="1" applyAlignment="1">
      <alignment horizontal="right" vertical="center"/>
    </xf>
    <xf numFmtId="43" fontId="17" fillId="3" borderId="0" xfId="62" applyNumberFormat="1" applyFont="1" applyFill="1">
      <alignment vertical="center"/>
    </xf>
    <xf numFmtId="43" fontId="13" fillId="3" borderId="0" xfId="62" applyNumberFormat="1" applyFont="1" applyFill="1" applyAlignment="1">
      <alignment horizontal="right" vertical="center"/>
    </xf>
    <xf numFmtId="43" fontId="18" fillId="3" borderId="0" xfId="62" applyNumberFormat="1" applyFont="1" applyFill="1">
      <alignment vertical="center"/>
    </xf>
    <xf numFmtId="43" fontId="12" fillId="0" borderId="5" xfId="62" applyNumberFormat="1" applyFont="1" applyFill="1" applyBorder="1" applyAlignment="1">
      <alignment horizontal="center" vertical="center"/>
    </xf>
    <xf numFmtId="43" fontId="12" fillId="0" borderId="1" xfId="62" applyNumberFormat="1" applyFont="1" applyFill="1" applyBorder="1" applyAlignment="1">
      <alignment horizontal="center" vertical="center"/>
    </xf>
    <xf numFmtId="43" fontId="16" fillId="0" borderId="1" xfId="62" applyNumberFormat="1" applyFont="1" applyFill="1" applyBorder="1" applyAlignment="1">
      <alignment horizontal="center" vertical="center"/>
    </xf>
    <xf numFmtId="43" fontId="12" fillId="0" borderId="6" xfId="62" applyNumberFormat="1" applyFont="1" applyFill="1" applyBorder="1" applyAlignment="1">
      <alignment horizontal="center" vertical="center"/>
    </xf>
    <xf numFmtId="43" fontId="14" fillId="0" borderId="1" xfId="62" applyNumberFormat="1" applyFont="1" applyFill="1" applyBorder="1" applyAlignment="1">
      <alignment horizontal="center" vertical="center"/>
    </xf>
    <xf numFmtId="177" fontId="14" fillId="0" borderId="1" xfId="62" applyNumberFormat="1" applyFont="1" applyFill="1" applyBorder="1">
      <alignment vertical="center"/>
    </xf>
    <xf numFmtId="9" fontId="13" fillId="0" borderId="1" xfId="3" applyNumberFormat="1" applyFont="1" applyFill="1" applyBorder="1">
      <alignment vertical="center"/>
    </xf>
    <xf numFmtId="41" fontId="13" fillId="0" borderId="1" xfId="62" applyNumberFormat="1" applyFont="1" applyFill="1" applyBorder="1">
      <alignment vertical="center"/>
    </xf>
    <xf numFmtId="178" fontId="14" fillId="3" borderId="0" xfId="3" applyNumberFormat="1" applyFont="1" applyFill="1" applyBorder="1" applyAlignment="1" applyProtection="1">
      <alignment vertical="center"/>
    </xf>
    <xf numFmtId="0" fontId="19" fillId="0" borderId="0" xfId="6" applyFont="1">
      <alignment vertical="center"/>
    </xf>
    <xf numFmtId="43" fontId="14" fillId="0" borderId="5" xfId="62" applyNumberFormat="1" applyFont="1" applyFill="1" applyBorder="1" applyAlignment="1">
      <alignment horizontal="center" vertical="center"/>
    </xf>
    <xf numFmtId="41" fontId="17" fillId="0" borderId="1" xfId="62" applyNumberFormat="1" applyFont="1" applyFill="1" applyBorder="1" applyAlignment="1">
      <alignment horizontal="right" vertical="center"/>
    </xf>
    <xf numFmtId="178" fontId="17" fillId="0" borderId="1" xfId="3" applyNumberFormat="1" applyFont="1" applyFill="1" applyBorder="1" applyAlignment="1">
      <alignment horizontal="right" vertical="center"/>
    </xf>
    <xf numFmtId="9" fontId="17" fillId="0" borderId="1" xfId="3" applyNumberFormat="1" applyFont="1" applyFill="1" applyBorder="1" applyAlignment="1">
      <alignment horizontal="right" vertical="center"/>
    </xf>
    <xf numFmtId="43" fontId="13" fillId="3" borderId="2" xfId="62" applyNumberFormat="1" applyFont="1" applyFill="1" applyBorder="1" applyAlignment="1">
      <alignment vertical="center" wrapText="1"/>
    </xf>
    <xf numFmtId="43" fontId="13" fillId="3" borderId="4" xfId="62" applyNumberFormat="1" applyFont="1" applyFill="1" applyBorder="1" applyAlignment="1">
      <alignment vertical="center" wrapText="1"/>
    </xf>
    <xf numFmtId="43" fontId="13" fillId="3" borderId="3" xfId="62" applyNumberFormat="1" applyFont="1" applyFill="1" applyBorder="1" applyAlignment="1">
      <alignment vertical="center" wrapText="1"/>
    </xf>
    <xf numFmtId="43" fontId="12" fillId="3" borderId="0" xfId="62" applyNumberFormat="1" applyFont="1" applyFill="1" applyBorder="1" applyAlignment="1">
      <alignment horizontal="center" vertical="center"/>
    </xf>
    <xf numFmtId="43" fontId="14" fillId="3" borderId="0" xfId="62" applyNumberFormat="1" applyFont="1" applyFill="1" applyBorder="1" applyAlignment="1">
      <alignment horizontal="center" vertical="center"/>
    </xf>
    <xf numFmtId="43" fontId="17" fillId="3" borderId="0" xfId="62" applyNumberFormat="1" applyFont="1" applyFill="1" applyBorder="1" applyAlignment="1">
      <alignment vertical="center" wrapText="1"/>
    </xf>
    <xf numFmtId="43" fontId="18" fillId="3" borderId="0" xfId="62" applyNumberFormat="1" applyFont="1" applyFill="1" applyAlignment="1">
      <alignment vertical="center"/>
    </xf>
    <xf numFmtId="43" fontId="14" fillId="3" borderId="0" xfId="62" applyNumberFormat="1" applyFont="1" applyFill="1" applyAlignment="1">
      <alignment vertical="center"/>
    </xf>
    <xf numFmtId="43" fontId="14" fillId="3" borderId="0" xfId="62" applyNumberFormat="1" applyFont="1" applyFill="1" applyAlignment="1">
      <alignment horizontal="left" vertical="center"/>
    </xf>
    <xf numFmtId="43" fontId="16" fillId="3" borderId="5" xfId="62" applyNumberFormat="1" applyFont="1" applyFill="1" applyBorder="1" applyAlignment="1">
      <alignment horizontal="center" vertical="center"/>
    </xf>
    <xf numFmtId="43" fontId="12" fillId="3" borderId="1" xfId="62" applyNumberFormat="1" applyFont="1" applyFill="1" applyBorder="1" applyAlignment="1">
      <alignment horizontal="center" vertical="center"/>
    </xf>
    <xf numFmtId="43" fontId="12" fillId="0" borderId="2" xfId="62" applyNumberFormat="1" applyFont="1" applyFill="1" applyBorder="1" applyAlignment="1">
      <alignment horizontal="center" vertical="center"/>
    </xf>
    <xf numFmtId="43" fontId="12" fillId="0" borderId="3" xfId="62" applyNumberFormat="1" applyFont="1" applyFill="1" applyBorder="1" applyAlignment="1">
      <alignment horizontal="center" vertical="center"/>
    </xf>
    <xf numFmtId="43" fontId="16" fillId="3" borderId="6" xfId="62" applyNumberFormat="1" applyFont="1" applyFill="1" applyBorder="1" applyAlignment="1">
      <alignment horizontal="center" vertical="center"/>
    </xf>
    <xf numFmtId="43" fontId="13" fillId="3" borderId="1" xfId="62" applyNumberFormat="1" applyFont="1" applyFill="1" applyBorder="1" applyAlignment="1">
      <alignment horizontal="center" vertical="center" wrapText="1"/>
    </xf>
    <xf numFmtId="43" fontId="14" fillId="0" borderId="3" xfId="62" applyNumberFormat="1" applyFont="1" applyFill="1" applyBorder="1" applyAlignment="1">
      <alignment horizontal="center" vertical="center"/>
    </xf>
    <xf numFmtId="43" fontId="14" fillId="3" borderId="1" xfId="62" applyNumberFormat="1" applyFont="1" applyFill="1" applyBorder="1" applyAlignment="1">
      <alignment horizontal="center" vertical="center"/>
    </xf>
    <xf numFmtId="177" fontId="14" fillId="3" borderId="1" xfId="62" applyNumberFormat="1" applyFont="1" applyFill="1" applyBorder="1">
      <alignment vertical="center"/>
    </xf>
    <xf numFmtId="177" fontId="14" fillId="3" borderId="1" xfId="62" applyNumberFormat="1" applyFont="1" applyFill="1" applyBorder="1" applyAlignment="1">
      <alignment horizontal="right" vertical="center"/>
    </xf>
    <xf numFmtId="178" fontId="13" fillId="3" borderId="1" xfId="3" applyNumberFormat="1" applyFont="1" applyFill="1" applyBorder="1" applyAlignment="1">
      <alignment horizontal="right" vertical="center"/>
    </xf>
    <xf numFmtId="41" fontId="14" fillId="3" borderId="1" xfId="62" applyNumberFormat="1" applyFont="1" applyFill="1" applyBorder="1" applyAlignment="1">
      <alignment horizontal="right" vertical="center"/>
    </xf>
    <xf numFmtId="178" fontId="13" fillId="3" borderId="1" xfId="3" applyNumberFormat="1" applyFont="1" applyFill="1" applyBorder="1" applyAlignment="1">
      <alignment vertical="center"/>
    </xf>
    <xf numFmtId="43" fontId="13" fillId="3" borderId="0" xfId="62" applyNumberFormat="1" applyFont="1" applyFill="1" applyBorder="1" applyAlignment="1"/>
    <xf numFmtId="9" fontId="13" fillId="3" borderId="1" xfId="3" applyNumberFormat="1" applyFont="1" applyFill="1" applyBorder="1" applyAlignment="1">
      <alignment vertical="center"/>
    </xf>
    <xf numFmtId="43" fontId="14" fillId="3" borderId="0" xfId="62" applyNumberFormat="1" applyFont="1" applyFill="1" applyBorder="1">
      <alignment vertical="center"/>
    </xf>
    <xf numFmtId="43" fontId="14" fillId="3" borderId="0" xfId="62" applyNumberFormat="1" applyFont="1" applyFill="1" applyBorder="1" applyAlignment="1">
      <alignment horizontal="right" vertical="center"/>
    </xf>
    <xf numFmtId="177" fontId="17" fillId="3" borderId="0" xfId="62" applyNumberFormat="1" applyFont="1" applyFill="1" applyBorder="1">
      <alignment vertical="center"/>
    </xf>
    <xf numFmtId="178" fontId="17" fillId="3" borderId="0" xfId="3" applyNumberFormat="1" applyFont="1" applyFill="1" applyBorder="1">
      <alignment vertical="center"/>
    </xf>
    <xf numFmtId="178" fontId="17" fillId="3" borderId="0" xfId="3" applyNumberFormat="1" applyFont="1" applyFill="1" applyBorder="1" applyAlignment="1" applyProtection="1">
      <alignment vertical="center"/>
    </xf>
    <xf numFmtId="43" fontId="13" fillId="3" borderId="0" xfId="62" applyNumberFormat="1" applyFont="1" applyFill="1" applyAlignment="1">
      <alignment horizontal="center" vertical="center"/>
    </xf>
    <xf numFmtId="43" fontId="20" fillId="3" borderId="0" xfId="62" applyNumberFormat="1" applyFont="1" applyFill="1">
      <alignment vertical="center"/>
    </xf>
    <xf numFmtId="178" fontId="13" fillId="3" borderId="0" xfId="62" applyNumberFormat="1" applyFont="1" applyFill="1">
      <alignment vertical="center"/>
    </xf>
    <xf numFmtId="43" fontId="13" fillId="3" borderId="0" xfId="1" applyFont="1" applyFill="1">
      <alignment vertical="center"/>
    </xf>
    <xf numFmtId="43" fontId="16" fillId="3" borderId="1" xfId="62" applyNumberFormat="1" applyFont="1" applyFill="1" applyBorder="1" applyAlignment="1">
      <alignment horizontal="center" vertical="center"/>
    </xf>
    <xf numFmtId="178" fontId="12" fillId="3" borderId="1" xfId="62" applyNumberFormat="1" applyFont="1" applyFill="1" applyBorder="1" applyAlignment="1">
      <alignment horizontal="center" vertical="center"/>
    </xf>
    <xf numFmtId="178" fontId="14" fillId="3" borderId="0" xfId="62" applyNumberFormat="1" applyFont="1" applyFill="1">
      <alignment vertical="center"/>
    </xf>
    <xf numFmtId="43" fontId="13" fillId="0" borderId="1" xfId="62" applyNumberFormat="1" applyFont="1" applyFill="1" applyBorder="1" applyAlignment="1">
      <alignment horizontal="left" vertical="center"/>
    </xf>
    <xf numFmtId="43" fontId="13" fillId="0" borderId="5" xfId="62" applyNumberFormat="1" applyFont="1" applyFill="1" applyBorder="1" applyAlignment="1">
      <alignment horizontal="center" vertical="center"/>
    </xf>
    <xf numFmtId="41" fontId="14" fillId="0" borderId="1" xfId="62" applyNumberFormat="1" applyFont="1" applyFill="1" applyBorder="1" applyAlignment="1">
      <alignment horizontal="right" vertical="center"/>
    </xf>
    <xf numFmtId="41" fontId="14" fillId="0" borderId="1" xfId="62" applyNumberFormat="1" applyFont="1" applyFill="1" applyBorder="1">
      <alignment vertical="center"/>
    </xf>
    <xf numFmtId="178" fontId="14" fillId="3" borderId="1" xfId="62" applyNumberFormat="1" applyFont="1" applyFill="1" applyBorder="1" applyAlignment="1">
      <alignment horizontal="center" vertical="center"/>
    </xf>
    <xf numFmtId="43" fontId="13" fillId="0" borderId="7" xfId="62" applyNumberFormat="1" applyFont="1" applyFill="1" applyBorder="1" applyAlignment="1">
      <alignment horizontal="center" vertical="center"/>
    </xf>
    <xf numFmtId="43" fontId="14" fillId="5" borderId="1" xfId="62" applyNumberFormat="1" applyFont="1" applyFill="1" applyBorder="1" applyAlignment="1">
      <alignment horizontal="center" vertical="center"/>
    </xf>
    <xf numFmtId="41" fontId="14" fillId="5" borderId="1" xfId="62" applyNumberFormat="1" applyFont="1" applyFill="1" applyBorder="1" applyAlignment="1">
      <alignment horizontal="right" vertical="center"/>
    </xf>
    <xf numFmtId="41" fontId="14" fillId="5" borderId="1" xfId="62" applyNumberFormat="1" applyFont="1" applyFill="1" applyBorder="1">
      <alignment vertical="center"/>
    </xf>
    <xf numFmtId="178" fontId="14" fillId="5" borderId="1" xfId="62" applyNumberFormat="1" applyFont="1" applyFill="1" applyBorder="1" applyAlignment="1">
      <alignment horizontal="center" vertical="center"/>
    </xf>
    <xf numFmtId="41" fontId="14" fillId="0" borderId="0" xfId="62" applyNumberFormat="1" applyFont="1" applyFill="1" applyBorder="1" applyAlignment="1">
      <alignment horizontal="right" vertical="center"/>
    </xf>
    <xf numFmtId="43" fontId="14" fillId="0" borderId="1" xfId="62" applyNumberFormat="1" applyFont="1" applyFill="1" applyBorder="1" applyAlignment="1">
      <alignment horizontal="left" vertical="center"/>
    </xf>
    <xf numFmtId="43" fontId="14" fillId="3" borderId="2" xfId="62" applyNumberFormat="1" applyFont="1" applyFill="1" applyBorder="1" applyAlignment="1">
      <alignment horizontal="center" vertical="center"/>
    </xf>
    <xf numFmtId="43" fontId="14" fillId="3" borderId="3" xfId="62" applyNumberFormat="1" applyFont="1" applyFill="1" applyBorder="1" applyAlignment="1">
      <alignment horizontal="center" vertical="center"/>
    </xf>
    <xf numFmtId="43" fontId="14" fillId="5" borderId="2" xfId="62" applyNumberFormat="1" applyFont="1" applyFill="1" applyBorder="1" applyAlignment="1">
      <alignment horizontal="center" vertical="center"/>
    </xf>
    <xf numFmtId="43" fontId="14" fillId="5" borderId="3" xfId="62" applyNumberFormat="1" applyFont="1" applyFill="1" applyBorder="1" applyAlignment="1">
      <alignment horizontal="center" vertical="center"/>
    </xf>
    <xf numFmtId="43" fontId="13" fillId="0" borderId="6" xfId="62" applyNumberFormat="1" applyFont="1" applyFill="1" applyBorder="1" applyAlignment="1">
      <alignment horizontal="center" vertical="center"/>
    </xf>
    <xf numFmtId="43" fontId="14" fillId="0" borderId="5" xfId="62" applyNumberFormat="1" applyFont="1" applyFill="1" applyBorder="1" applyAlignment="1">
      <alignment horizontal="center" vertical="center"/>
    </xf>
    <xf numFmtId="43" fontId="13" fillId="0" borderId="0" xfId="62" applyNumberFormat="1" applyFont="1" applyFill="1" applyBorder="1" applyAlignment="1">
      <alignment horizontal="center" vertical="center"/>
    </xf>
    <xf numFmtId="43" fontId="14" fillId="0" borderId="6" xfId="62" applyNumberFormat="1" applyFont="1" applyFill="1" applyBorder="1" applyAlignment="1">
      <alignment horizontal="center" vertical="center"/>
    </xf>
    <xf numFmtId="43" fontId="13" fillId="0" borderId="0" xfId="62" applyNumberFormat="1" applyFont="1" applyFill="1" applyBorder="1" applyAlignment="1">
      <alignment horizontal="center" vertical="center"/>
    </xf>
    <xf numFmtId="43" fontId="13" fillId="3" borderId="0" xfId="62" applyNumberFormat="1" applyFont="1" applyFill="1" applyBorder="1" applyAlignment="1">
      <alignment horizontal="left" vertical="center"/>
    </xf>
    <xf numFmtId="43" fontId="13" fillId="3" borderId="0" xfId="62" applyNumberFormat="1" applyFont="1" applyFill="1" applyBorder="1" applyAlignment="1">
      <alignment horizontal="center" vertical="center"/>
    </xf>
    <xf numFmtId="41" fontId="17" fillId="3" borderId="0" xfId="62" applyNumberFormat="1" applyFont="1" applyFill="1" applyBorder="1" applyAlignment="1">
      <alignment horizontal="right" vertical="center"/>
    </xf>
    <xf numFmtId="41" fontId="14" fillId="3" borderId="0" xfId="62" applyNumberFormat="1" applyFont="1" applyFill="1" applyBorder="1" applyAlignment="1">
      <alignment horizontal="right" vertical="center"/>
    </xf>
    <xf numFmtId="41" fontId="14" fillId="3" borderId="0" xfId="62" applyNumberFormat="1" applyFont="1" applyFill="1" applyBorder="1">
      <alignment vertical="center"/>
    </xf>
    <xf numFmtId="43" fontId="12" fillId="3" borderId="0" xfId="62" applyNumberFormat="1" applyFont="1" applyFill="1" applyAlignment="1">
      <alignment horizontal="left" vertical="center"/>
    </xf>
    <xf numFmtId="43" fontId="12" fillId="3" borderId="1" xfId="62" applyNumberFormat="1" applyFont="1" applyFill="1" applyBorder="1" applyAlignment="1">
      <alignment vertical="center"/>
    </xf>
    <xf numFmtId="43" fontId="16" fillId="3" borderId="1" xfId="62" applyNumberFormat="1" applyFont="1" applyFill="1" applyBorder="1" applyAlignment="1">
      <alignment vertical="center" wrapText="1"/>
    </xf>
    <xf numFmtId="43" fontId="12" fillId="3" borderId="1" xfId="62" applyNumberFormat="1" applyFont="1" applyFill="1" applyBorder="1" applyAlignment="1">
      <alignment horizontal="center" vertical="center" wrapText="1"/>
    </xf>
    <xf numFmtId="43" fontId="14" fillId="3" borderId="5" xfId="62" applyNumberFormat="1" applyFont="1" applyFill="1" applyBorder="1" applyAlignment="1">
      <alignment horizontal="left" vertical="center"/>
    </xf>
    <xf numFmtId="43" fontId="14" fillId="3" borderId="5" xfId="62" applyNumberFormat="1" applyFont="1" applyFill="1" applyBorder="1" applyAlignment="1">
      <alignment horizontal="center" vertical="center"/>
    </xf>
    <xf numFmtId="43" fontId="13" fillId="3" borderId="1" xfId="62" applyNumberFormat="1" applyFont="1" applyFill="1" applyBorder="1" applyAlignment="1">
      <alignment horizontal="left" vertical="center"/>
    </xf>
    <xf numFmtId="177" fontId="13" fillId="3" borderId="1" xfId="62" applyNumberFormat="1" applyFont="1" applyFill="1" applyBorder="1" applyAlignment="1">
      <alignment horizontal="left" vertical="center"/>
    </xf>
    <xf numFmtId="0" fontId="14" fillId="3" borderId="0" xfId="62" applyNumberFormat="1" applyFont="1" applyFill="1">
      <alignment vertical="center"/>
    </xf>
    <xf numFmtId="43" fontId="14" fillId="3" borderId="7" xfId="62" applyNumberFormat="1" applyFont="1" applyFill="1" applyBorder="1" applyAlignment="1">
      <alignment horizontal="left" vertical="center"/>
    </xf>
    <xf numFmtId="43" fontId="14" fillId="3" borderId="7" xfId="62" applyNumberFormat="1" applyFont="1" applyFill="1" applyBorder="1" applyAlignment="1">
      <alignment horizontal="center" vertical="center"/>
    </xf>
    <xf numFmtId="41" fontId="13" fillId="3" borderId="1" xfId="62" applyNumberFormat="1" applyFont="1" applyFill="1" applyBorder="1" applyAlignment="1">
      <alignment horizontal="left" vertical="center"/>
    </xf>
    <xf numFmtId="43" fontId="14" fillId="3" borderId="6" xfId="62" applyNumberFormat="1" applyFont="1" applyFill="1" applyBorder="1" applyAlignment="1">
      <alignment horizontal="left" vertical="center"/>
    </xf>
    <xf numFmtId="43" fontId="13" fillId="4" borderId="1" xfId="62" applyNumberFormat="1" applyFont="1" applyFill="1" applyBorder="1" applyAlignment="1">
      <alignment horizontal="left" vertical="center"/>
    </xf>
    <xf numFmtId="177" fontId="14" fillId="4" borderId="1" xfId="62" applyNumberFormat="1" applyFont="1" applyFill="1" applyBorder="1" applyAlignment="1">
      <alignment horizontal="left" vertical="center"/>
    </xf>
    <xf numFmtId="43" fontId="13" fillId="3" borderId="1" xfId="62" applyNumberFormat="1" applyFont="1" applyFill="1" applyBorder="1" applyAlignment="1">
      <alignment horizontal="left"/>
    </xf>
    <xf numFmtId="43" fontId="14" fillId="3" borderId="6" xfId="62" applyNumberFormat="1" applyFont="1" applyFill="1" applyBorder="1" applyAlignment="1">
      <alignment horizontal="center" vertical="center"/>
    </xf>
    <xf numFmtId="41" fontId="13" fillId="4" borderId="1" xfId="62" applyNumberFormat="1" applyFont="1" applyFill="1" applyBorder="1" applyAlignment="1">
      <alignment horizontal="left" vertical="center"/>
    </xf>
    <xf numFmtId="43" fontId="16" fillId="6" borderId="2" xfId="62" applyNumberFormat="1" applyFont="1" applyFill="1" applyBorder="1" applyAlignment="1">
      <alignment vertical="center"/>
    </xf>
    <xf numFmtId="43" fontId="16" fillId="6" borderId="4" xfId="62" applyNumberFormat="1" applyFont="1" applyFill="1" applyBorder="1" applyAlignment="1">
      <alignment vertical="center"/>
    </xf>
    <xf numFmtId="43" fontId="16" fillId="6" borderId="3" xfId="62" applyNumberFormat="1" applyFont="1" applyFill="1" applyBorder="1" applyAlignment="1">
      <alignment vertical="center"/>
    </xf>
    <xf numFmtId="177" fontId="12" fillId="6" borderId="1" xfId="62" applyNumberFormat="1" applyFont="1" applyFill="1" applyBorder="1" applyAlignment="1">
      <alignment vertical="center"/>
    </xf>
    <xf numFmtId="43" fontId="14" fillId="3" borderId="0" xfId="62" applyNumberFormat="1" applyFont="1" applyFill="1" applyAlignment="1" quotePrefix="1">
      <alignment horizontal="center" vertical="center"/>
    </xf>
    <xf numFmtId="43" fontId="13" fillId="3" borderId="0" xfId="62" applyNumberFormat="1" applyFont="1" applyFill="1" applyAlignment="1" quotePrefix="1">
      <alignment horizontal="center" vertical="center"/>
    </xf>
  </cellXfs>
  <cellStyles count="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3 2" xfId="53"/>
    <cellStyle name="常规 14" xfId="54"/>
    <cellStyle name="常规 14 2" xfId="55"/>
    <cellStyle name="常规 14 3" xfId="56"/>
    <cellStyle name="常规 15" xfId="57"/>
    <cellStyle name="常规 16" xfId="58"/>
    <cellStyle name="常规 17" xfId="59"/>
    <cellStyle name="常规 2" xfId="60"/>
    <cellStyle name="常规 2 2" xfId="61"/>
    <cellStyle name="常规 2 3" xfId="62"/>
    <cellStyle name="常规 3" xfId="63"/>
    <cellStyle name="常规 4" xfId="64"/>
    <cellStyle name="常规 5" xfId="65"/>
    <cellStyle name="常规 6" xfId="66"/>
    <cellStyle name="常规 7" xfId="67"/>
    <cellStyle name="常规 8" xfId="68"/>
    <cellStyle name="常规 9" xfId="69"/>
    <cellStyle name="千位分隔 10" xfId="70"/>
    <cellStyle name="千位分隔 11" xfId="71"/>
    <cellStyle name="千位分隔 12" xfId="72"/>
    <cellStyle name="千位分隔 12 2" xfId="73"/>
    <cellStyle name="千位分隔 13" xfId="74"/>
    <cellStyle name="千位分隔 2" xfId="75"/>
    <cellStyle name="千位分隔 3" xfId="76"/>
    <cellStyle name="千位分隔 4" xfId="77"/>
    <cellStyle name="千位分隔 5" xfId="78"/>
    <cellStyle name="千位分隔 6" xfId="79"/>
    <cellStyle name="千位分隔 7" xfId="80"/>
    <cellStyle name="千位分隔 8" xfId="81"/>
    <cellStyle name="千位分隔 9" xfId="82"/>
    <cellStyle name="千位分隔[0] 2" xfId="83"/>
    <cellStyle name="样式 1" xfId="8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6"/>
  <sheetViews>
    <sheetView tabSelected="1" zoomScale="138" zoomScaleNormal="138" topLeftCell="A20" workbookViewId="0">
      <selection activeCell="F30" sqref="F30"/>
    </sheetView>
  </sheetViews>
  <sheetFormatPr defaultColWidth="9" defaultRowHeight="15.2"/>
  <cols>
    <col min="1" max="1" width="4.375" style="68" customWidth="1"/>
    <col min="2" max="2" width="20.5576923076923" style="69" customWidth="1"/>
    <col min="3" max="3" width="11.5" style="69" hidden="1" customWidth="1"/>
    <col min="4" max="4" width="14.5" style="69" customWidth="1"/>
    <col min="5" max="5" width="19.75" style="70" customWidth="1"/>
    <col min="6" max="6" width="15.625" style="69" customWidth="1"/>
    <col min="7" max="7" width="18.375" style="69" customWidth="1"/>
    <col min="8" max="8" width="21.75" style="69" customWidth="1"/>
    <col min="9" max="9" width="25.5" style="69" customWidth="1"/>
    <col min="10" max="10" width="19.75" style="69" customWidth="1"/>
    <col min="11" max="11" width="17.625" style="69" customWidth="1"/>
    <col min="12" max="12" width="19.75" style="69" customWidth="1"/>
    <col min="13" max="13" width="21" style="69" customWidth="1"/>
    <col min="14" max="16384" width="9" style="69"/>
  </cols>
  <sheetData>
    <row r="1" ht="20.25" customHeight="1" spans="1:10">
      <c r="A1" s="71" t="s">
        <v>0</v>
      </c>
    </row>
    <row r="3" s="66" customFormat="1" ht="16" spans="1:10">
      <c r="A3" s="72" t="s">
        <v>1</v>
      </c>
      <c r="B3" s="73" t="s">
        <v>2</v>
      </c>
      <c r="E3" s="74"/>
    </row>
    <row r="4" s="66" customFormat="1" spans="1:10">
      <c r="A4" s="72"/>
      <c r="B4" s="75" t="s">
        <v>3</v>
      </c>
      <c r="E4" s="74"/>
    </row>
    <row r="5" spans="1:10">
      <c r="A5" s="72"/>
      <c r="B5" s="67" t="s">
        <v>4</v>
      </c>
      <c r="C5" s="67"/>
      <c r="D5" s="67"/>
      <c r="E5" s="76"/>
      <c r="I5" s="67"/>
    </row>
    <row r="6" spans="1:10">
      <c r="B6" s="67"/>
      <c r="C6" s="66"/>
    </row>
    <row r="7" ht="15.75" customHeight="1" spans="1:10">
      <c r="A7" s="72" t="s">
        <v>5</v>
      </c>
      <c r="B7" s="66" t="s">
        <v>6</v>
      </c>
      <c r="C7" s="66"/>
    </row>
    <row r="8" spans="1:10">
      <c r="A8" s="176" t="s">
        <v>7</v>
      </c>
      <c r="B8" s="77" t="s">
        <v>8</v>
      </c>
      <c r="C8" s="66"/>
    </row>
    <row r="9" s="66" customFormat="1" ht="17.1" customHeight="1" spans="1:10">
      <c r="A9" s="72"/>
      <c r="B9" s="78" t="s">
        <v>9</v>
      </c>
      <c r="C9" s="79" t="s">
        <v>10</v>
      </c>
      <c r="D9" s="79" t="s">
        <v>11</v>
      </c>
      <c r="E9" s="79"/>
      <c r="F9" s="79" t="s">
        <v>12</v>
      </c>
      <c r="G9" s="79"/>
      <c r="H9" s="80" t="s">
        <v>13</v>
      </c>
      <c r="I9" s="80"/>
    </row>
    <row r="10" ht="17.1" customHeight="1" spans="1:10">
      <c r="B10" s="81"/>
      <c r="C10" s="79"/>
      <c r="D10" s="82" t="s">
        <v>14</v>
      </c>
      <c r="E10" s="82" t="s">
        <v>15</v>
      </c>
      <c r="F10" s="82" t="s">
        <v>16</v>
      </c>
      <c r="G10" s="82" t="s">
        <v>15</v>
      </c>
      <c r="H10" s="82" t="s">
        <v>16</v>
      </c>
      <c r="I10" s="82" t="s">
        <v>15</v>
      </c>
    </row>
    <row r="11" ht="17.1" customHeight="1" spans="1:10">
      <c r="B11" s="81" t="s">
        <v>17</v>
      </c>
      <c r="C11" s="79"/>
      <c r="D11" s="83" t="s">
        <v>18</v>
      </c>
      <c r="E11" s="84" t="s">
        <v>19</v>
      </c>
      <c r="F11" s="85" t="s">
        <v>20</v>
      </c>
      <c r="G11" s="84">
        <v>1</v>
      </c>
      <c r="H11" s="85" t="s">
        <v>21</v>
      </c>
      <c r="I11" s="84">
        <v>1</v>
      </c>
      <c r="J11" s="86"/>
    </row>
    <row r="12" ht="17.1" customHeight="1" spans="1:10">
      <c r="B12" s="87" t="s">
        <v>22</v>
      </c>
      <c r="C12" s="88" t="s">
        <v>23</v>
      </c>
      <c r="D12" s="89" t="s">
        <v>24</v>
      </c>
      <c r="E12" s="90" t="e">
        <f>D12/D11</f>
        <v>#VALUE!</v>
      </c>
      <c r="F12" s="89" t="str">
        <f>盘亏资产明细及原因!G7</f>
        <v>汇总</v>
      </c>
      <c r="G12" s="90" t="e">
        <f>F12/F11</f>
        <v>#VALUE!</v>
      </c>
      <c r="H12" s="89" t="str">
        <f>盘亏资产明细及原因!H7</f>
        <v>汇总</v>
      </c>
      <c r="I12" s="91" t="e">
        <f>H12/H11</f>
        <v>#VALUE!</v>
      </c>
      <c r="J12" s="86"/>
    </row>
    <row r="13" ht="17.1" customHeight="1" spans="1:10">
      <c r="B13" s="81" t="s">
        <v>25</v>
      </c>
      <c r="C13" s="88" t="s">
        <v>23</v>
      </c>
      <c r="D13" s="89" t="s">
        <v>26</v>
      </c>
      <c r="E13" s="89"/>
      <c r="F13" s="89"/>
      <c r="G13" s="89"/>
      <c r="H13" s="89"/>
      <c r="I13" s="89"/>
    </row>
    <row r="14" ht="17.1" customHeight="1" spans="1:10">
      <c r="B14" s="79" t="s">
        <v>27</v>
      </c>
      <c r="C14" s="82"/>
      <c r="D14" s="92" t="s">
        <v>28</v>
      </c>
      <c r="E14" s="93"/>
      <c r="F14" s="93"/>
      <c r="G14" s="93"/>
      <c r="H14" s="93"/>
      <c r="I14" s="94"/>
    </row>
    <row r="15" spans="1:10">
      <c r="B15" s="95"/>
      <c r="C15" s="96"/>
      <c r="D15" s="97"/>
      <c r="E15" s="97"/>
      <c r="F15" s="97"/>
      <c r="G15" s="97"/>
      <c r="H15" s="97"/>
      <c r="I15" s="97"/>
    </row>
    <row r="16" spans="1:10">
      <c r="A16" s="176" t="s">
        <v>29</v>
      </c>
      <c r="B16" s="98" t="s">
        <v>30</v>
      </c>
      <c r="D16" s="99"/>
      <c r="E16" s="100"/>
    </row>
    <row r="17" ht="21" customHeight="1" spans="1:14">
      <c r="B17" s="101" t="s">
        <v>31</v>
      </c>
      <c r="C17" s="101" t="s">
        <v>10</v>
      </c>
      <c r="D17" s="102" t="s">
        <v>32</v>
      </c>
      <c r="E17" s="102"/>
      <c r="F17" s="102"/>
      <c r="G17" s="103" t="s">
        <v>33</v>
      </c>
      <c r="H17" s="104"/>
      <c r="I17" s="103" t="s">
        <v>34</v>
      </c>
      <c r="J17" s="104"/>
      <c r="K17" s="79" t="s">
        <v>35</v>
      </c>
      <c r="L17" s="79"/>
    </row>
    <row r="18" ht="21" customHeight="1" spans="1:14">
      <c r="B18" s="105"/>
      <c r="C18" s="105"/>
      <c r="D18" s="106" t="s">
        <v>36</v>
      </c>
      <c r="E18" s="106" t="s">
        <v>37</v>
      </c>
      <c r="F18" s="106" t="s">
        <v>38</v>
      </c>
      <c r="G18" s="107" t="s">
        <v>14</v>
      </c>
      <c r="H18" s="82" t="s">
        <v>15</v>
      </c>
      <c r="I18" s="82" t="s">
        <v>16</v>
      </c>
      <c r="J18" s="82" t="s">
        <v>15</v>
      </c>
      <c r="K18" s="82" t="s">
        <v>16</v>
      </c>
      <c r="L18" s="82" t="s">
        <v>15</v>
      </c>
    </row>
    <row r="19" ht="21" customHeight="1" spans="1:14">
      <c r="B19" s="108" t="s">
        <v>39</v>
      </c>
      <c r="C19" s="108" t="s">
        <v>23</v>
      </c>
      <c r="D19" s="109" t="s">
        <v>40</v>
      </c>
      <c r="E19" s="109"/>
      <c r="F19" s="109"/>
      <c r="G19" s="110"/>
      <c r="H19" s="111"/>
      <c r="I19" s="110"/>
      <c r="J19" s="111"/>
      <c r="K19" s="112"/>
      <c r="L19" s="113"/>
      <c r="N19" s="114"/>
    </row>
    <row r="20" ht="21" customHeight="1" spans="1:14">
      <c r="B20" s="108" t="s">
        <v>41</v>
      </c>
      <c r="C20" s="108" t="s">
        <v>23</v>
      </c>
      <c r="D20" s="109"/>
      <c r="E20" s="109"/>
      <c r="F20" s="109"/>
      <c r="G20" s="110"/>
      <c r="H20" s="111"/>
      <c r="I20" s="110"/>
      <c r="J20" s="111"/>
      <c r="K20" s="112"/>
      <c r="L20" s="115"/>
      <c r="N20" s="114"/>
    </row>
    <row r="21" ht="21" customHeight="1" spans="1:14">
      <c r="B21" s="108" t="s">
        <v>42</v>
      </c>
      <c r="C21" s="108" t="s">
        <v>23</v>
      </c>
      <c r="D21" s="109"/>
      <c r="E21" s="109"/>
      <c r="F21" s="109"/>
      <c r="G21" s="110"/>
      <c r="H21" s="111"/>
      <c r="I21" s="110"/>
      <c r="J21" s="111"/>
      <c r="K21" s="112"/>
      <c r="L21" s="113"/>
      <c r="N21" s="114"/>
    </row>
    <row r="22" ht="21" customHeight="1" spans="1:14">
      <c r="B22" s="108" t="s">
        <v>43</v>
      </c>
      <c r="C22" s="108" t="s">
        <v>23</v>
      </c>
      <c r="D22" s="109" t="str">
        <f>D11</f>
        <v>不包含分公司（非16板块），看资产卡片上的数量，不是资产卡片数</v>
      </c>
      <c r="E22" s="109" t="str">
        <f>F11</f>
        <v>EBS原值</v>
      </c>
      <c r="F22" s="109" t="str">
        <f>H11</f>
        <v>截止6月30日23：59：59的净值</v>
      </c>
      <c r="G22" s="110" t="str">
        <f>D12</f>
        <v>报失数量（资产卡片上的数量）</v>
      </c>
      <c r="H22" s="111" t="e">
        <f>E12</f>
        <v>#VALUE!</v>
      </c>
      <c r="I22" s="110" t="str">
        <f>F11</f>
        <v>EBS原值</v>
      </c>
      <c r="J22" s="110">
        <f>G11</f>
        <v>1</v>
      </c>
      <c r="K22" s="110" t="str">
        <f>H11</f>
        <v>截止6月30日23：59：59的净值</v>
      </c>
      <c r="L22" s="110">
        <f>I11</f>
        <v>1</v>
      </c>
      <c r="N22" s="114"/>
    </row>
    <row r="23" spans="1:14">
      <c r="B23" s="96"/>
      <c r="C23" s="96"/>
      <c r="D23" s="116"/>
      <c r="E23" s="117"/>
      <c r="F23" s="116"/>
      <c r="G23" s="118"/>
      <c r="H23" s="119"/>
      <c r="I23" s="120"/>
      <c r="J23" s="118"/>
      <c r="K23" s="118"/>
      <c r="L23" s="118"/>
    </row>
    <row r="24" s="67" customFormat="1" ht="17.45" customHeight="1" spans="1:14">
      <c r="A24" s="177" t="s">
        <v>44</v>
      </c>
      <c r="B24" s="122" t="s">
        <v>45</v>
      </c>
      <c r="E24" s="76"/>
      <c r="H24" s="123"/>
      <c r="K24" s="124"/>
    </row>
    <row r="25" ht="21" customHeight="1" spans="1:14">
      <c r="B25" s="125" t="s">
        <v>46</v>
      </c>
      <c r="C25" s="125" t="s">
        <v>10</v>
      </c>
      <c r="D25" s="125" t="s">
        <v>47</v>
      </c>
      <c r="E25" s="102" t="s">
        <v>48</v>
      </c>
      <c r="F25" s="102" t="s">
        <v>49</v>
      </c>
      <c r="G25" s="102" t="s">
        <v>50</v>
      </c>
      <c r="H25" s="126" t="s">
        <v>27</v>
      </c>
      <c r="I25" s="126"/>
      <c r="K25" s="127"/>
      <c r="L25" s="86"/>
    </row>
    <row r="26" ht="22.5" customHeight="1" spans="1:14">
      <c r="B26" s="128" t="s">
        <v>51</v>
      </c>
      <c r="C26" s="129" t="s">
        <v>23</v>
      </c>
      <c r="D26" s="82" t="s">
        <v>42</v>
      </c>
      <c r="E26" s="130"/>
      <c r="F26" s="130"/>
      <c r="G26" s="131"/>
      <c r="H26" s="132" t="s">
        <v>28</v>
      </c>
      <c r="I26" s="132"/>
    </row>
    <row r="27" ht="22.5" customHeight="1" spans="1:14">
      <c r="B27" s="128"/>
      <c r="C27" s="133"/>
      <c r="D27" s="134" t="s">
        <v>43</v>
      </c>
      <c r="E27" s="135" t="s">
        <v>52</v>
      </c>
      <c r="F27" s="135"/>
      <c r="G27" s="136" t="s">
        <v>53</v>
      </c>
      <c r="H27" s="137"/>
      <c r="I27" s="137"/>
      <c r="J27" s="138"/>
      <c r="K27" s="127"/>
    </row>
    <row r="28" ht="22.5" customHeight="1" spans="1:14">
      <c r="B28" s="139" t="s">
        <v>54</v>
      </c>
      <c r="C28" s="133"/>
      <c r="D28" s="82" t="s">
        <v>42</v>
      </c>
      <c r="E28" s="130"/>
      <c r="F28" s="130"/>
      <c r="G28" s="131"/>
      <c r="H28" s="132"/>
      <c r="I28" s="132"/>
    </row>
    <row r="29" ht="22.5" customHeight="1" spans="1:14">
      <c r="B29" s="128"/>
      <c r="C29" s="133"/>
      <c r="D29" s="134" t="s">
        <v>43</v>
      </c>
      <c r="E29" s="135"/>
      <c r="F29" s="135"/>
      <c r="G29" s="136"/>
      <c r="H29" s="137"/>
      <c r="I29" s="137"/>
      <c r="J29" s="127"/>
    </row>
    <row r="30" ht="22.5" customHeight="1" spans="1:14">
      <c r="B30" s="139" t="s">
        <v>55</v>
      </c>
      <c r="C30" s="133"/>
      <c r="D30" s="82" t="s">
        <v>42</v>
      </c>
      <c r="E30" s="130"/>
      <c r="F30" s="130"/>
      <c r="G30" s="131"/>
      <c r="H30" s="132"/>
      <c r="I30" s="132"/>
    </row>
    <row r="31" ht="22.5" customHeight="1" spans="1:14">
      <c r="B31" s="128"/>
      <c r="C31" s="133"/>
      <c r="D31" s="134" t="s">
        <v>43</v>
      </c>
      <c r="E31" s="135"/>
      <c r="F31" s="135"/>
      <c r="G31" s="136"/>
      <c r="H31" s="137"/>
      <c r="I31" s="137"/>
    </row>
    <row r="32" ht="22.5" customHeight="1" spans="1:14">
      <c r="B32" s="139" t="s">
        <v>56</v>
      </c>
      <c r="C32" s="133"/>
      <c r="D32" s="82" t="s">
        <v>42</v>
      </c>
      <c r="E32" s="130"/>
      <c r="F32" s="130"/>
      <c r="G32" s="131"/>
      <c r="H32" s="140"/>
      <c r="I32" s="141"/>
    </row>
    <row r="33" ht="22.5" customHeight="1" spans="1:9">
      <c r="B33" s="128"/>
      <c r="C33" s="133"/>
      <c r="D33" s="134" t="s">
        <v>43</v>
      </c>
      <c r="E33" s="135"/>
      <c r="F33" s="135"/>
      <c r="G33" s="136"/>
      <c r="H33" s="142"/>
      <c r="I33" s="143"/>
    </row>
    <row r="34" ht="22.5" customHeight="1" spans="1:9">
      <c r="B34" s="139" t="s">
        <v>57</v>
      </c>
      <c r="C34" s="133"/>
      <c r="D34" s="82" t="s">
        <v>42</v>
      </c>
      <c r="E34" s="130"/>
      <c r="F34" s="130"/>
      <c r="G34" s="131"/>
      <c r="H34" s="132"/>
      <c r="I34" s="132"/>
    </row>
    <row r="35" ht="22.5" customHeight="1" spans="1:9">
      <c r="B35" s="128"/>
      <c r="C35" s="144"/>
      <c r="D35" s="134" t="s">
        <v>43</v>
      </c>
      <c r="E35" s="135"/>
      <c r="F35" s="135"/>
      <c r="G35" s="136"/>
      <c r="H35" s="137"/>
      <c r="I35" s="137"/>
    </row>
    <row r="36" ht="22.5" customHeight="1" spans="1:9">
      <c r="B36" s="145" t="s">
        <v>58</v>
      </c>
      <c r="C36" s="146"/>
      <c r="D36" s="82" t="s">
        <v>42</v>
      </c>
      <c r="E36" s="130"/>
      <c r="F36" s="130"/>
      <c r="G36" s="131"/>
      <c r="H36" s="132"/>
      <c r="I36" s="132"/>
    </row>
    <row r="37" ht="22.5" customHeight="1" spans="1:9">
      <c r="B37" s="147"/>
      <c r="C37" s="146"/>
      <c r="D37" s="134" t="s">
        <v>43</v>
      </c>
      <c r="E37" s="135"/>
      <c r="F37" s="135"/>
      <c r="G37" s="136"/>
      <c r="H37" s="137"/>
      <c r="I37" s="137"/>
    </row>
    <row r="38" ht="22.5" customHeight="1" spans="1:9">
      <c r="B38" s="139" t="s">
        <v>59</v>
      </c>
      <c r="C38" s="148"/>
      <c r="D38" s="82" t="s">
        <v>42</v>
      </c>
      <c r="E38" s="130"/>
      <c r="F38" s="130"/>
      <c r="G38" s="131"/>
      <c r="H38" s="132"/>
      <c r="I38" s="132"/>
    </row>
    <row r="39" ht="22.5" customHeight="1" spans="1:9">
      <c r="B39" s="128"/>
      <c r="C39" s="148"/>
      <c r="D39" s="134" t="s">
        <v>43</v>
      </c>
      <c r="E39" s="135"/>
      <c r="F39" s="135"/>
      <c r="G39" s="136"/>
      <c r="H39" s="137"/>
      <c r="I39" s="137"/>
    </row>
    <row r="40" ht="16.5" customHeight="1" spans="1:9">
      <c r="B40" s="149"/>
      <c r="C40" s="150"/>
      <c r="D40" s="96"/>
      <c r="E40" s="151"/>
      <c r="F40" s="152"/>
      <c r="G40" s="153"/>
    </row>
    <row r="41" s="66" customFormat="1" ht="16.5" customHeight="1" spans="1:9">
      <c r="A41" s="72" t="s">
        <v>60</v>
      </c>
      <c r="B41" s="154" t="s">
        <v>61</v>
      </c>
      <c r="E41" s="74"/>
    </row>
    <row r="42" ht="18.95" customHeight="1" spans="1:9">
      <c r="B42" s="155" t="s">
        <v>62</v>
      </c>
      <c r="C42" s="102" t="s">
        <v>10</v>
      </c>
      <c r="D42" s="156" t="s">
        <v>63</v>
      </c>
      <c r="E42" s="157" t="s">
        <v>64</v>
      </c>
    </row>
    <row r="43" ht="18.95" customHeight="1" spans="1:9">
      <c r="B43" s="158" t="s">
        <v>65</v>
      </c>
      <c r="C43" s="159" t="s">
        <v>23</v>
      </c>
      <c r="D43" s="160" t="s">
        <v>66</v>
      </c>
      <c r="E43" s="161" t="s">
        <v>67</v>
      </c>
      <c r="F43" s="162">
        <v>-85</v>
      </c>
      <c r="G43" s="69" t="s">
        <v>68</v>
      </c>
    </row>
    <row r="44" ht="18.95" customHeight="1" spans="1:9">
      <c r="B44" s="163"/>
      <c r="C44" s="164"/>
      <c r="D44" s="160" t="s">
        <v>69</v>
      </c>
      <c r="E44" s="161" t="s">
        <v>70</v>
      </c>
    </row>
    <row r="45" ht="18.95" customHeight="1" spans="1:9">
      <c r="B45" s="163"/>
      <c r="C45" s="164"/>
      <c r="D45" s="160" t="s">
        <v>71</v>
      </c>
      <c r="E45" s="165" t="s">
        <v>72</v>
      </c>
    </row>
    <row r="46" ht="18.95" customHeight="1" spans="1:9">
      <c r="B46" s="166"/>
      <c r="C46" s="164"/>
      <c r="D46" s="167" t="s">
        <v>73</v>
      </c>
      <c r="E46" s="168"/>
    </row>
    <row r="47" ht="18.95" customHeight="1" spans="1:9">
      <c r="B47" s="158" t="s">
        <v>74</v>
      </c>
      <c r="C47" s="164"/>
      <c r="D47" s="160" t="s">
        <v>74</v>
      </c>
      <c r="E47" s="161"/>
    </row>
    <row r="48" ht="18.95" customHeight="1" spans="1:9">
      <c r="B48" s="163"/>
      <c r="C48" s="164"/>
      <c r="D48" s="160" t="s">
        <v>75</v>
      </c>
      <c r="E48" s="165"/>
    </row>
    <row r="49" ht="18.95" customHeight="1" spans="2:5">
      <c r="B49" s="166"/>
      <c r="C49" s="164"/>
      <c r="D49" s="167" t="s">
        <v>73</v>
      </c>
      <c r="E49" s="168"/>
    </row>
    <row r="50" ht="18.95" customHeight="1" spans="2:5">
      <c r="B50" s="158" t="s">
        <v>76</v>
      </c>
      <c r="C50" s="164"/>
      <c r="D50" s="160" t="s">
        <v>76</v>
      </c>
      <c r="E50" s="161"/>
    </row>
    <row r="51" ht="18.95" customHeight="1" spans="2:5">
      <c r="B51" s="163"/>
      <c r="C51" s="164"/>
      <c r="D51" s="160" t="s">
        <v>77</v>
      </c>
      <c r="E51" s="161"/>
    </row>
    <row r="52" ht="18.95" customHeight="1" spans="2:5">
      <c r="B52" s="163"/>
      <c r="C52" s="164"/>
      <c r="D52" s="160" t="s">
        <v>78</v>
      </c>
      <c r="E52" s="161"/>
    </row>
    <row r="53" ht="18.95" customHeight="1" spans="2:5">
      <c r="B53" s="166"/>
      <c r="C53" s="164"/>
      <c r="D53" s="167" t="s">
        <v>73</v>
      </c>
      <c r="E53" s="168"/>
    </row>
    <row r="54" ht="18.95" customHeight="1" spans="2:5">
      <c r="B54" s="169" t="s">
        <v>79</v>
      </c>
      <c r="C54" s="170"/>
      <c r="D54" s="167" t="s">
        <v>79</v>
      </c>
      <c r="E54" s="171"/>
    </row>
    <row r="55" ht="18.95" customHeight="1" spans="2:5">
      <c r="B55" s="172" t="s">
        <v>80</v>
      </c>
      <c r="C55" s="173"/>
      <c r="D55" s="174"/>
      <c r="E55" s="175"/>
    </row>
    <row r="56" ht="16.5" customHeight="1"/>
  </sheetData>
  <mergeCells count="39">
    <mergeCell ref="D9:E9"/>
    <mergeCell ref="F9:G9"/>
    <mergeCell ref="H9:I9"/>
    <mergeCell ref="D14:I14"/>
    <mergeCell ref="D17:F17"/>
    <mergeCell ref="G17:H17"/>
    <mergeCell ref="I17:J17"/>
    <mergeCell ref="K17:L17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9:B10"/>
    <mergeCell ref="B17:B18"/>
    <mergeCell ref="B26:B27"/>
    <mergeCell ref="B28:B29"/>
    <mergeCell ref="B30:B31"/>
    <mergeCell ref="B32:B33"/>
    <mergeCell ref="B34:B35"/>
    <mergeCell ref="B36:B37"/>
    <mergeCell ref="B38:B39"/>
    <mergeCell ref="B43:B46"/>
    <mergeCell ref="B47:B49"/>
    <mergeCell ref="B50:B53"/>
    <mergeCell ref="C9:C10"/>
    <mergeCell ref="C17:C18"/>
    <mergeCell ref="C26:C35"/>
    <mergeCell ref="C43:C54"/>
  </mergeCells>
  <hyperlinks>
    <hyperlink ref="F9" location="盘亏资产明细及原因!A35" display="原值"/>
    <hyperlink ref="B12" location="盘亏资产明细及原因!B4" display="盘亏资产"/>
  </hyperlinks>
  <pageMargins left="0.708661417322835" right="0.708661417322835" top="0.15748031496063" bottom="0.15748031496063" header="0.31496062992126" footer="0.31496062992126"/>
  <pageSetup paperSize="9" scale="5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D12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A11" sqref="A11:B11"/>
    </sheetView>
  </sheetViews>
  <sheetFormatPr defaultColWidth="5.625" defaultRowHeight="16.5" customHeight="1"/>
  <cols>
    <col min="1" max="1" width="5.5" style="4" customWidth="1"/>
    <col min="2" max="2" width="7.5" style="4" customWidth="1"/>
    <col min="3" max="3" width="16.875" style="4" customWidth="1"/>
    <col min="4" max="4" width="19.125" style="4" customWidth="1"/>
    <col min="5" max="5" width="26.5" style="4" customWidth="1"/>
    <col min="6" max="6" width="4.5" style="5" customWidth="1"/>
    <col min="7" max="7" width="8.125" style="6" customWidth="1"/>
    <col min="8" max="8" width="8" style="6" customWidth="1"/>
    <col min="9" max="9" width="6" style="4" customWidth="1"/>
    <col min="10" max="10" width="10.5" style="7" customWidth="1"/>
    <col min="11" max="11" width="8.125" style="8" customWidth="1"/>
    <col min="12" max="12" width="13.75" style="9" customWidth="1"/>
    <col min="13" max="13" width="11.125" style="10" customWidth="1"/>
    <col min="14" max="14" width="9" style="4" customWidth="1"/>
    <col min="15" max="15" width="9" style="5" hidden="1" customWidth="1"/>
    <col min="16" max="16" width="26.8461538461538" style="11" customWidth="1"/>
    <col min="17" max="17" width="12.5" style="4" customWidth="1"/>
    <col min="18" max="18" width="45.875" style="12" customWidth="1"/>
    <col min="19" max="19" width="5.875" style="13" hidden="1" customWidth="1"/>
    <col min="20" max="16383" width="5.625" style="11"/>
  </cols>
  <sheetData>
    <row r="1" customHeight="1" spans="1:56">
      <c r="A1" s="14" t="s">
        <v>81</v>
      </c>
    </row>
    <row r="3" ht="55" spans="1:56">
      <c r="A3" s="15" t="s">
        <v>82</v>
      </c>
      <c r="B3" s="15" t="s">
        <v>83</v>
      </c>
      <c r="C3" s="15" t="s">
        <v>62</v>
      </c>
      <c r="D3" s="15" t="s">
        <v>84</v>
      </c>
      <c r="E3" s="16" t="s">
        <v>85</v>
      </c>
      <c r="F3" s="17" t="s">
        <v>11</v>
      </c>
      <c r="G3" s="18" t="s">
        <v>12</v>
      </c>
      <c r="H3" s="19" t="s">
        <v>86</v>
      </c>
      <c r="I3" s="20" t="s">
        <v>87</v>
      </c>
      <c r="J3" s="21" t="s">
        <v>88</v>
      </c>
      <c r="K3" s="18" t="s">
        <v>89</v>
      </c>
      <c r="L3" s="22" t="s">
        <v>90</v>
      </c>
      <c r="M3" s="23" t="s">
        <v>91</v>
      </c>
      <c r="N3" s="15" t="s">
        <v>92</v>
      </c>
      <c r="O3" s="15" t="s">
        <v>93</v>
      </c>
      <c r="P3" s="15" t="s">
        <v>94</v>
      </c>
      <c r="Q3" s="15" t="s">
        <v>95</v>
      </c>
      <c r="R3" s="24" t="s">
        <v>96</v>
      </c>
      <c r="S3" s="24" t="s">
        <v>27</v>
      </c>
    </row>
    <row r="4" s="1" customFormat="1" customHeight="1" outlineLevel="1" spans="1:56">
      <c r="A4" s="25">
        <v>1</v>
      </c>
      <c r="B4" s="26" t="s">
        <v>97</v>
      </c>
      <c r="C4" s="27"/>
      <c r="D4" s="27"/>
      <c r="E4" s="27"/>
      <c r="F4" s="28"/>
      <c r="G4" s="29"/>
      <c r="H4" s="29"/>
      <c r="I4" s="25" t="s">
        <v>98</v>
      </c>
      <c r="J4" s="25" t="s">
        <v>98</v>
      </c>
      <c r="K4" s="25" t="s">
        <v>98</v>
      </c>
      <c r="L4" s="30"/>
      <c r="M4" s="31" t="s">
        <v>99</v>
      </c>
      <c r="N4" s="32"/>
      <c r="O4" s="32"/>
      <c r="P4" s="25" t="s">
        <v>100</v>
      </c>
      <c r="Q4" s="33" t="s">
        <v>101</v>
      </c>
      <c r="R4" s="34" t="s">
        <v>98</v>
      </c>
      <c r="S4" s="35"/>
    </row>
    <row r="5" s="1" customFormat="1" customHeight="1" outlineLevel="1" spans="1:56">
      <c r="A5" s="25">
        <v>2</v>
      </c>
      <c r="B5" s="26" t="s">
        <v>97</v>
      </c>
      <c r="C5" s="27"/>
      <c r="D5" s="27"/>
      <c r="E5" s="27"/>
      <c r="F5" s="28"/>
      <c r="G5" s="29"/>
      <c r="H5" s="29"/>
      <c r="I5" s="25"/>
      <c r="J5" s="29"/>
      <c r="K5" s="36"/>
      <c r="L5" s="30"/>
      <c r="M5" s="31"/>
      <c r="N5" s="32"/>
      <c r="O5" s="32"/>
      <c r="P5" s="25"/>
      <c r="Q5" s="33"/>
      <c r="R5" s="34"/>
      <c r="S5" s="35"/>
    </row>
    <row r="6" s="1" customFormat="1" customHeight="1" outlineLevel="1" spans="1:56">
      <c r="A6" s="25">
        <v>3</v>
      </c>
      <c r="B6" s="26" t="s">
        <v>97</v>
      </c>
      <c r="C6" s="27"/>
      <c r="D6" s="27"/>
      <c r="E6" s="27"/>
      <c r="F6" s="28"/>
      <c r="G6" s="29"/>
      <c r="H6" s="29"/>
      <c r="I6" s="25"/>
      <c r="J6" s="29"/>
      <c r="K6" s="36"/>
      <c r="L6" s="30"/>
      <c r="M6" s="31"/>
      <c r="N6" s="32"/>
      <c r="O6" s="32"/>
      <c r="P6" s="25"/>
      <c r="Q6" s="33"/>
      <c r="R6" s="34"/>
      <c r="S6" s="35"/>
    </row>
    <row r="7" s="2" customFormat="1" customHeight="1" spans="1:56">
      <c r="A7" s="37" t="s">
        <v>102</v>
      </c>
      <c r="B7" s="38"/>
      <c r="C7" s="39"/>
      <c r="D7" s="39"/>
      <c r="E7" s="40"/>
      <c r="F7" s="41" t="s">
        <v>64</v>
      </c>
      <c r="G7" s="42" t="s">
        <v>64</v>
      </c>
      <c r="H7" s="42" t="s">
        <v>64</v>
      </c>
      <c r="I7" s="43"/>
      <c r="J7" s="42"/>
      <c r="K7" s="42"/>
      <c r="L7" s="44"/>
      <c r="M7" s="45"/>
      <c r="N7" s="46"/>
      <c r="O7" s="46"/>
      <c r="P7" s="39"/>
      <c r="Q7" s="47"/>
      <c r="R7" s="48"/>
      <c r="S7" s="49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</row>
    <row r="8" s="1" customFormat="1" customHeight="1" outlineLevel="1" spans="1:56">
      <c r="A8" s="25">
        <v>1</v>
      </c>
      <c r="B8" s="51" t="s">
        <v>103</v>
      </c>
      <c r="C8" s="27"/>
      <c r="D8" s="27"/>
      <c r="E8" s="27"/>
      <c r="F8" s="28"/>
      <c r="G8" s="29"/>
      <c r="H8" s="29"/>
      <c r="I8" s="25"/>
      <c r="J8" s="29"/>
      <c r="K8" s="36"/>
      <c r="L8" s="30"/>
      <c r="M8" s="31"/>
      <c r="N8" s="32"/>
      <c r="O8" s="32"/>
      <c r="P8" s="25"/>
      <c r="Q8" s="33"/>
      <c r="R8" s="34"/>
      <c r="S8" s="35"/>
    </row>
    <row r="9" s="1" customFormat="1" customHeight="1" outlineLevel="1" spans="1:56">
      <c r="A9" s="25">
        <v>2</v>
      </c>
      <c r="B9" s="51" t="s">
        <v>103</v>
      </c>
      <c r="C9" s="27"/>
      <c r="D9" s="27"/>
      <c r="E9" s="27"/>
      <c r="F9" s="28"/>
      <c r="G9" s="29"/>
      <c r="H9" s="29"/>
      <c r="I9" s="25"/>
      <c r="J9" s="29"/>
      <c r="K9" s="36"/>
      <c r="L9" s="30"/>
      <c r="M9" s="31"/>
      <c r="N9" s="32"/>
      <c r="O9" s="32"/>
      <c r="P9" s="25"/>
      <c r="Q9" s="33"/>
      <c r="R9" s="34"/>
      <c r="S9" s="35"/>
    </row>
    <row r="10" s="1" customFormat="1" customHeight="1" outlineLevel="1" spans="1:56">
      <c r="A10" s="25">
        <v>3</v>
      </c>
      <c r="B10" s="51" t="s">
        <v>103</v>
      </c>
      <c r="C10" s="27"/>
      <c r="D10" s="27"/>
      <c r="E10" s="27"/>
      <c r="F10" s="28"/>
      <c r="G10" s="29"/>
      <c r="H10" s="29"/>
      <c r="I10" s="25"/>
      <c r="J10" s="29"/>
      <c r="K10" s="36"/>
      <c r="L10" s="30"/>
      <c r="M10" s="31"/>
      <c r="N10" s="32"/>
      <c r="O10" s="32"/>
      <c r="P10" s="25"/>
      <c r="Q10" s="33"/>
      <c r="R10" s="34"/>
      <c r="S10" s="35"/>
    </row>
    <row r="11" s="2" customFormat="1" customHeight="1" spans="1:56">
      <c r="A11" s="37" t="s">
        <v>104</v>
      </c>
      <c r="B11" s="38"/>
      <c r="C11" s="47"/>
      <c r="D11" s="47"/>
      <c r="E11" s="52"/>
      <c r="F11" s="41" t="s">
        <v>64</v>
      </c>
      <c r="G11" s="42" t="s">
        <v>64</v>
      </c>
      <c r="H11" s="42" t="s">
        <v>64</v>
      </c>
      <c r="I11" s="43"/>
      <c r="J11" s="42"/>
      <c r="K11" s="42"/>
      <c r="L11" s="44"/>
      <c r="M11" s="45"/>
      <c r="N11" s="46"/>
      <c r="O11" s="46"/>
      <c r="P11" s="39"/>
      <c r="Q11" s="47"/>
      <c r="R11" s="48"/>
      <c r="S11" s="49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</row>
    <row r="12" s="3" customFormat="1" customHeight="1" spans="1:56">
      <c r="A12" s="53" t="s">
        <v>105</v>
      </c>
      <c r="B12" s="54"/>
      <c r="C12" s="55"/>
      <c r="D12" s="56"/>
      <c r="E12" s="57"/>
      <c r="F12" s="41" t="s">
        <v>64</v>
      </c>
      <c r="G12" s="42" t="s">
        <v>64</v>
      </c>
      <c r="H12" s="42" t="s">
        <v>64</v>
      </c>
      <c r="I12" s="43"/>
      <c r="J12" s="58"/>
      <c r="K12" s="58"/>
      <c r="L12" s="59"/>
      <c r="M12" s="60"/>
      <c r="N12" s="61"/>
      <c r="O12" s="61"/>
      <c r="P12" s="62"/>
      <c r="Q12" s="63"/>
      <c r="R12" s="64"/>
      <c r="S12" s="65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</row>
  </sheetData>
  <mergeCells count="2">
    <mergeCell ref="A7:B7"/>
    <mergeCell ref="A11:B11"/>
  </mergeCells>
  <printOptions horizontalCentered="1"/>
  <pageMargins left="0" right="0" top="0.748031496062992" bottom="0.748031496062992" header="0.31496062992126" footer="0.31496062992126"/>
  <pageSetup paperSize="9" scale="6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Sohu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盘点结果比较分析</vt:lpstr>
      <vt:lpstr>盘亏资产明细及原因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angelahe</dc:creator>
  <cp:lastModifiedBy>zqx</cp:lastModifiedBy>
  <dcterms:created xsi:type="dcterms:W3CDTF">2016-09-06T11:58:00Z</dcterms:created>
  <cp:lastPrinted>2025-09-24T17:17:00Z</cp:lastPrinted>
  <dcterms:modified xsi:type="dcterms:W3CDTF">2026-10-15T19:51:34Z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2052-12.1.28496.28496</vt:lpwstr>
  </property>
  <property fmtid="{D5CDD505-2E9C-101B-9397-08002B2CF9AE}" pid="3" name="ICV">
    <vt:lpwstr>5387EEC86C38400EAEBD691030DA6394_13</vt:lpwstr>
  </property>
  <property fmtid="{D5CDD505-2E9C-101B-9397-08002B2CF9AE}" pid="4" name="CalculationRule">
    <vt:i4>0</vt:i4>
  </property>
</Properties>
</file>