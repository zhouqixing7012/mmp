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120"/>
  </bookViews>
  <sheets>
    <sheet name="Sheet1" sheetId="1" r:id="rId1"/>
    <sheet name="已到报废期" sheetId="2" r:id="rId2"/>
    <sheet name="未到报废期" sheetId="4" r:id="rId3"/>
    <sheet name="丢失" sheetId="3" r:id="rId4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<sst xmlns="http://schemas.openxmlformats.org/spreadsheetml/2006/main" count="170" uniqueCount="91">
  <si>
    <t>202XDisposal Application</t>
  </si>
  <si>
    <t>XXX固定资产报废申请表</t>
  </si>
  <si>
    <t>申请人</t>
  </si>
  <si>
    <t>XX</t>
  </si>
  <si>
    <t>部门</t>
  </si>
  <si>
    <t>ES</t>
  </si>
  <si>
    <t>部门经理</t>
  </si>
  <si>
    <t>刘宇</t>
  </si>
  <si>
    <t>报废日期</t>
  </si>
  <si>
    <t>yyyy/mm</t>
  </si>
  <si>
    <t>项目</t>
  </si>
  <si>
    <t>已到报废期资产</t>
  </si>
  <si>
    <t>未到报废期资产</t>
  </si>
  <si>
    <t>丢失资产</t>
  </si>
  <si>
    <t>数量</t>
  </si>
  <si>
    <t>原值</t>
  </si>
  <si>
    <r>
      <rPr>
        <sz val="11"/>
        <rFont val="Times New Roman"/>
        <charset val="134"/>
      </rPr>
      <t xml:space="preserve">    </t>
    </r>
    <r>
      <rPr>
        <sz val="11"/>
        <rFont val="宋体"/>
        <charset val="134"/>
      </rPr>
      <t>账面净值</t>
    </r>
  </si>
  <si>
    <t>报废原因</t>
  </si>
  <si>
    <r>
      <rPr>
        <sz val="11"/>
        <color indexed="8"/>
        <rFont val="Times New Roman"/>
        <charset val="134"/>
      </rPr>
      <t xml:space="preserve">    </t>
    </r>
    <r>
      <rPr>
        <sz val="11"/>
        <color indexed="8"/>
        <rFont val="宋体"/>
        <charset val="134"/>
      </rPr>
      <t>账面净值</t>
    </r>
  </si>
  <si>
    <t>主机</t>
  </si>
  <si>
    <t>已到报废年限，无法使用，申请报废</t>
  </si>
  <si>
    <t>实物损坏，不可修复，申请报废</t>
  </si>
  <si>
    <t xml:space="preserve">丢失    （已赔偿）  </t>
  </si>
  <si>
    <t>显示器</t>
  </si>
  <si>
    <t>主机（配件）</t>
  </si>
  <si>
    <t>笔记本</t>
  </si>
  <si>
    <t>笔记本（配件）</t>
  </si>
  <si>
    <t>办公设备</t>
  </si>
  <si>
    <t>办公设备（配件）</t>
  </si>
  <si>
    <t>服务器</t>
  </si>
  <si>
    <t>服务器（配件）</t>
  </si>
  <si>
    <t xml:space="preserve">             </t>
  </si>
  <si>
    <t>网络设备</t>
  </si>
  <si>
    <t>网络设备（配件）</t>
  </si>
  <si>
    <t>家具</t>
  </si>
  <si>
    <t>VEHICLE</t>
  </si>
  <si>
    <t>TOTAL</t>
  </si>
  <si>
    <r>
      <rPr>
        <b/>
        <sz val="12"/>
        <color indexed="10"/>
        <rFont val="Times New Roman"/>
        <charset val="134"/>
      </rPr>
      <t>Remark</t>
    </r>
    <r>
      <rPr>
        <b/>
        <sz val="12"/>
        <color indexed="10"/>
        <rFont val="宋体"/>
        <charset val="134"/>
      </rPr>
      <t>：资产净值为</t>
    </r>
    <r>
      <rPr>
        <b/>
        <sz val="12"/>
        <color indexed="10"/>
        <rFont val="Times New Roman"/>
        <charset val="134"/>
      </rPr>
      <t>Dec.2024US Gaap</t>
    </r>
    <r>
      <rPr>
        <b/>
        <sz val="12"/>
        <color indexed="10"/>
        <rFont val="宋体"/>
        <charset val="134"/>
      </rPr>
      <t>净值</t>
    </r>
    <r>
      <rPr>
        <b/>
        <sz val="12"/>
        <color indexed="10"/>
        <rFont val="Times New Roman"/>
        <charset val="134"/>
      </rPr>
      <t>,</t>
    </r>
    <r>
      <rPr>
        <b/>
        <sz val="12"/>
        <color indexed="10"/>
        <rFont val="宋体"/>
        <charset val="134"/>
      </rPr>
      <t>仅供参考</t>
    </r>
    <r>
      <rPr>
        <b/>
        <sz val="12"/>
        <color indexed="10"/>
        <rFont val="Times New Roman"/>
        <charset val="134"/>
      </rPr>
      <t>.</t>
    </r>
  </si>
  <si>
    <t>审批流程</t>
  </si>
  <si>
    <t>序号</t>
  </si>
  <si>
    <t>节点</t>
  </si>
  <si>
    <t>审批人</t>
  </si>
  <si>
    <t>审批时间</t>
  </si>
  <si>
    <t>审批意见</t>
  </si>
  <si>
    <t>开始</t>
  </si>
  <si>
    <t>发起人</t>
  </si>
  <si>
    <t>同意</t>
  </si>
  <si>
    <t>财务初审</t>
  </si>
  <si>
    <t>冯丽婷</t>
  </si>
  <si>
    <t>NO部7级及以上领导</t>
  </si>
  <si>
    <t>章宇东</t>
  </si>
  <si>
    <t>ES二级审批</t>
  </si>
  <si>
    <t>何文</t>
  </si>
  <si>
    <t>ES一级审批</t>
  </si>
  <si>
    <t>财务复审</t>
  </si>
  <si>
    <t>财务主管</t>
  </si>
  <si>
    <t>张洁</t>
  </si>
  <si>
    <t>财务经理</t>
  </si>
  <si>
    <t>徐博</t>
  </si>
  <si>
    <t>提单人确认</t>
  </si>
  <si>
    <t>资产类别</t>
  </si>
  <si>
    <t>资产标签号</t>
  </si>
  <si>
    <t>资产编号</t>
  </si>
  <si>
    <t>资产说明</t>
  </si>
  <si>
    <t>资产关键字</t>
  </si>
  <si>
    <t>购买日期</t>
  </si>
  <si>
    <t>资产寿命（月）</t>
  </si>
  <si>
    <t>累计折旧</t>
  </si>
  <si>
    <t>净值</t>
  </si>
  <si>
    <t>责任人工号</t>
  </si>
  <si>
    <t>责任人姓名</t>
  </si>
  <si>
    <t>资产所在城市</t>
  </si>
  <si>
    <t>资产所在地点</t>
  </si>
  <si>
    <t>资产所在楼层</t>
  </si>
  <si>
    <t>SERVER</t>
  </si>
  <si>
    <t>Dell.R730XD</t>
  </si>
  <si>
    <t>14.11.在用-使用中</t>
  </si>
  <si>
    <t>梁声</t>
  </si>
  <si>
    <t>山东省-德州市</t>
  </si>
  <si>
    <t>德州联通</t>
  </si>
  <si>
    <t>7层</t>
  </si>
  <si>
    <t>未到报废期</t>
  </si>
  <si>
    <t>NOTEBOOK</t>
  </si>
  <si>
    <t>戴尔.Latitude E7280</t>
  </si>
  <si>
    <t>12.17.在用-使用中</t>
  </si>
  <si>
    <t>江志梁</t>
  </si>
  <si>
    <t>北京市</t>
  </si>
  <si>
    <t>搜狐媒体大厦</t>
  </si>
  <si>
    <t>8层</t>
  </si>
  <si>
    <t>B1</t>
  </si>
  <si>
    <t>丢失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</si>
</sst>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#,##0.00_);[Red]\(#,##0.00\)"/>
    <numFmt numFmtId="178" formatCode="#,##0.00_ "/>
    <numFmt numFmtId="179" formatCode="yyyy&quot;年&quot;m&quot;月&quot;;@"/>
    <numFmt numFmtId="180" formatCode="yyyy/m/d\ h:mm:ss"/>
  </numFmts>
  <fonts count="49">
    <font>
      <sz val="11"/>
      <color theme="1"/>
      <name val="宋体"/>
      <charset val="134"/>
      <scheme val="minor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ajor"/>
    </font>
    <font>
      <b/>
      <sz val="10"/>
      <color theme="1"/>
      <name val="宋体"/>
      <charset val="134"/>
      <scheme val="major"/>
    </font>
    <font>
      <b/>
      <sz val="10"/>
      <color rgb="FFFF0000"/>
      <name val="宋体"/>
      <charset val="134"/>
      <scheme val="major"/>
    </font>
    <font>
      <b/>
      <sz val="10"/>
      <color indexed="8"/>
      <name val="宋体"/>
      <charset val="134"/>
      <scheme val="major"/>
    </font>
    <font>
      <b/>
      <sz val="10"/>
      <name val="宋体"/>
      <charset val="134"/>
      <scheme val="major"/>
    </font>
    <font>
      <sz val="11"/>
      <name val="Times New Roman"/>
      <charset val="134"/>
    </font>
    <font>
      <b/>
      <sz val="12"/>
      <color indexed="10"/>
      <name val="Times New Roman"/>
      <charset val="134"/>
    </font>
    <font>
      <b/>
      <sz val="16"/>
      <name val="Times New Roman"/>
      <charset val="134"/>
    </font>
    <font>
      <b/>
      <sz val="16"/>
      <name val="宋体"/>
      <charset val="134"/>
    </font>
    <font>
      <sz val="12"/>
      <name val="宋体"/>
      <charset val="134"/>
    </font>
    <font>
      <u/>
      <sz val="12"/>
      <name val="宋体"/>
      <charset val="134"/>
    </font>
    <font>
      <sz val="12"/>
      <name val="Times New Roman"/>
      <charset val="134"/>
    </font>
    <font>
      <u/>
      <sz val="12"/>
      <name val="Times New Roman"/>
      <charset val="134"/>
    </font>
    <font>
      <b/>
      <sz val="11"/>
      <name val="Helv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1"/>
      <color indexed="8"/>
      <name val="宋体"/>
      <charset val="134"/>
      <scheme val="major"/>
    </font>
    <font>
      <sz val="12"/>
      <name val="宋体"/>
      <charset val="134"/>
      <scheme val="major"/>
    </font>
    <font>
      <b/>
      <sz val="11"/>
      <name val="Times New Roman"/>
      <charset val="134"/>
    </font>
    <font>
      <b/>
      <sz val="11"/>
      <color indexed="8"/>
      <name val="Times New Roman"/>
      <charset val="134"/>
    </font>
    <font>
      <b/>
      <sz val="12"/>
      <name val="宋体"/>
      <charset val="134"/>
    </font>
    <font>
      <b/>
      <sz val="9.7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3" borderId="26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29" applyNumberFormat="0" applyAlignment="0" applyProtection="0">
      <alignment vertical="center"/>
    </xf>
    <xf numFmtId="0" fontId="38" fillId="5" borderId="30" applyNumberFormat="0" applyAlignment="0" applyProtection="0">
      <alignment vertical="center"/>
    </xf>
    <xf numFmtId="0" fontId="39" fillId="5" borderId="29" applyNumberFormat="0" applyAlignment="0" applyProtection="0">
      <alignment vertical="center"/>
    </xf>
    <xf numFmtId="0" fontId="40" fillId="6" borderId="31" applyNumberFormat="0" applyAlignment="0" applyProtection="0">
      <alignment vertical="center"/>
    </xf>
    <xf numFmtId="0" fontId="41" fillId="0" borderId="32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14" fillId="0" borderId="0"/>
    <xf numFmtId="0" fontId="21" fillId="0" borderId="0">
      <alignment vertical="center"/>
    </xf>
  </cellStyleXfs>
  <cellXfs count="136">
    <xf numFmtId="0" fontId="0" fillId="0" borderId="0" xfId="0">
      <alignment vertical="center"/>
    </xf>
    <xf numFmtId="0" fontId="1" fillId="0" borderId="1" xfId="49" applyFont="1" applyFill="1" applyBorder="1" applyAlignment="1">
      <alignment horizontal="left"/>
    </xf>
    <xf numFmtId="176" fontId="2" fillId="0" borderId="1" xfId="49" applyNumberFormat="1" applyFont="1" applyFill="1" applyBorder="1" applyAlignment="1">
      <alignment horizontal="left"/>
    </xf>
    <xf numFmtId="0" fontId="2" fillId="0" borderId="1" xfId="49" applyFont="1" applyFill="1" applyBorder="1" applyAlignment="1">
      <alignment horizontal="left"/>
    </xf>
    <xf numFmtId="0" fontId="2" fillId="0" borderId="0" xfId="49" applyNumberFormat="1" applyFont="1" applyFill="1" applyBorder="1" applyAlignment="1">
      <alignment horizontal="left"/>
    </xf>
    <xf numFmtId="177" fontId="2" fillId="0" borderId="0" xfId="49" applyNumberFormat="1" applyFont="1" applyFill="1" applyBorder="1" applyAlignment="1">
      <alignment horizontal="left"/>
    </xf>
    <xf numFmtId="0" fontId="2" fillId="0" borderId="0" xfId="49" applyFont="1" applyFill="1" applyBorder="1" applyAlignment="1">
      <alignment horizontal="left"/>
    </xf>
    <xf numFmtId="49" fontId="3" fillId="0" borderId="0" xfId="50" applyNumberFormat="1" applyFont="1" applyFill="1" applyBorder="1" applyAlignment="1">
      <alignment horizontal="left" vertical="center"/>
    </xf>
    <xf numFmtId="176" fontId="3" fillId="0" borderId="0" xfId="50" applyNumberFormat="1" applyFont="1" applyFill="1" applyBorder="1" applyAlignment="1">
      <alignment horizontal="left" vertical="center"/>
    </xf>
    <xf numFmtId="0" fontId="3" fillId="0" borderId="0" xfId="50" applyNumberFormat="1" applyFont="1" applyFill="1" applyBorder="1" applyAlignment="1">
      <alignment horizontal="left" vertical="center"/>
    </xf>
    <xf numFmtId="177" fontId="3" fillId="0" borderId="0" xfId="50" applyNumberFormat="1" applyFont="1" applyFill="1" applyBorder="1" applyAlignment="1">
      <alignment horizontal="left" vertical="center"/>
    </xf>
    <xf numFmtId="49" fontId="3" fillId="0" borderId="0" xfId="5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/>
    </xf>
    <xf numFmtId="177" fontId="2" fillId="0" borderId="0" xfId="0" applyNumberFormat="1" applyFont="1" applyFill="1" applyAlignment="1">
      <alignment horizontal="left"/>
    </xf>
    <xf numFmtId="14" fontId="2" fillId="0" borderId="0" xfId="0" applyNumberFormat="1" applyFont="1" applyFill="1" applyAlignment="1">
      <alignment horizontal="left"/>
    </xf>
    <xf numFmtId="177" fontId="2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4" fillId="0" borderId="0" xfId="49" applyNumberFormat="1" applyFont="1" applyFill="1" applyAlignment="1">
      <alignment horizontal="left"/>
    </xf>
    <xf numFmtId="0" fontId="4" fillId="0" borderId="0" xfId="49" applyFont="1" applyFill="1" applyAlignment="1">
      <alignment horizontal="left"/>
    </xf>
    <xf numFmtId="177" fontId="4" fillId="0" borderId="0" xfId="49" applyNumberFormat="1" applyFont="1" applyFill="1" applyAlignment="1">
      <alignment horizontal="left"/>
    </xf>
    <xf numFmtId="0" fontId="1" fillId="0" borderId="2" xfId="49" applyFont="1" applyFill="1" applyBorder="1" applyAlignment="1">
      <alignment horizontal="left" vertical="center"/>
    </xf>
    <xf numFmtId="176" fontId="1" fillId="0" borderId="2" xfId="49" applyNumberFormat="1" applyFont="1" applyBorder="1" applyAlignment="1">
      <alignment horizontal="left" vertical="center"/>
    </xf>
    <xf numFmtId="0" fontId="1" fillId="0" borderId="2" xfId="49" applyFont="1" applyBorder="1" applyAlignment="1">
      <alignment horizontal="left" vertical="center"/>
    </xf>
    <xf numFmtId="177" fontId="1" fillId="0" borderId="2" xfId="49" applyNumberFormat="1" applyFont="1" applyBorder="1" applyAlignment="1">
      <alignment horizontal="left" vertical="center"/>
    </xf>
    <xf numFmtId="178" fontId="1" fillId="0" borderId="2" xfId="49" applyNumberFormat="1" applyFont="1" applyBorder="1" applyAlignment="1">
      <alignment horizontal="left" vertical="center"/>
    </xf>
    <xf numFmtId="0" fontId="5" fillId="0" borderId="0" xfId="49" applyFont="1" applyFill="1" applyBorder="1" applyAlignment="1">
      <alignment horizontal="left"/>
    </xf>
    <xf numFmtId="0" fontId="6" fillId="0" borderId="0" xfId="49" applyFont="1" applyFill="1" applyBorder="1" applyAlignment="1">
      <alignment horizontal="left" vertical="center"/>
    </xf>
    <xf numFmtId="0" fontId="5" fillId="0" borderId="0" xfId="49" applyFont="1" applyAlignment="1">
      <alignment horizontal="left"/>
    </xf>
    <xf numFmtId="0" fontId="7" fillId="0" borderId="1" xfId="49" applyFont="1" applyFill="1" applyBorder="1" applyAlignment="1">
      <alignment horizontal="left"/>
    </xf>
    <xf numFmtId="176" fontId="5" fillId="0" borderId="1" xfId="49" applyNumberFormat="1" applyFont="1" applyFill="1" applyBorder="1" applyAlignment="1">
      <alignment horizontal="left"/>
    </xf>
    <xf numFmtId="0" fontId="5" fillId="0" borderId="1" xfId="49" applyFont="1" applyFill="1" applyBorder="1" applyAlignment="1">
      <alignment horizontal="left"/>
    </xf>
    <xf numFmtId="0" fontId="5" fillId="0" borderId="0" xfId="49" applyNumberFormat="1" applyFont="1" applyFill="1" applyBorder="1" applyAlignment="1">
      <alignment horizontal="left"/>
    </xf>
    <xf numFmtId="177" fontId="5" fillId="0" borderId="0" xfId="49" applyNumberFormat="1" applyFont="1" applyFill="1" applyBorder="1" applyAlignment="1">
      <alignment horizontal="left"/>
    </xf>
    <xf numFmtId="49" fontId="8" fillId="0" borderId="0" xfId="50" applyNumberFormat="1" applyFont="1" applyFill="1" applyBorder="1" applyAlignment="1">
      <alignment horizontal="left" vertical="center"/>
    </xf>
    <xf numFmtId="176" fontId="8" fillId="0" borderId="0" xfId="50" applyNumberFormat="1" applyFont="1" applyFill="1" applyBorder="1" applyAlignment="1">
      <alignment horizontal="left" vertical="center"/>
    </xf>
    <xf numFmtId="0" fontId="8" fillId="0" borderId="0" xfId="50" applyNumberFormat="1" applyFont="1" applyFill="1" applyBorder="1" applyAlignment="1">
      <alignment horizontal="left" vertical="center"/>
    </xf>
    <xf numFmtId="177" fontId="8" fillId="0" borderId="0" xfId="50" applyNumberFormat="1" applyFont="1" applyFill="1" applyBorder="1" applyAlignment="1">
      <alignment horizontal="left" vertical="center"/>
    </xf>
    <xf numFmtId="49" fontId="8" fillId="0" borderId="0" xfId="50" applyNumberFormat="1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176" fontId="5" fillId="0" borderId="0" xfId="0" applyNumberFormat="1" applyFont="1" applyFill="1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  <xf numFmtId="0" fontId="5" fillId="0" borderId="0" xfId="0" applyNumberFormat="1" applyFont="1" applyFill="1" applyAlignment="1">
      <alignment horizontal="left"/>
    </xf>
    <xf numFmtId="177" fontId="5" fillId="0" borderId="0" xfId="0" applyNumberFormat="1" applyFont="1" applyFill="1" applyAlignment="1">
      <alignment horizontal="left"/>
    </xf>
    <xf numFmtId="14" fontId="5" fillId="0" borderId="0" xfId="0" applyNumberFormat="1" applyFont="1" applyFill="1" applyAlignment="1">
      <alignment horizontal="left"/>
    </xf>
    <xf numFmtId="177" fontId="5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176" fontId="9" fillId="0" borderId="0" xfId="49" applyNumberFormat="1" applyFont="1" applyAlignment="1">
      <alignment horizontal="left"/>
    </xf>
    <xf numFmtId="0" fontId="9" fillId="0" borderId="0" xfId="49" applyFont="1" applyAlignment="1">
      <alignment horizontal="left"/>
    </xf>
    <xf numFmtId="0" fontId="7" fillId="0" borderId="2" xfId="49" applyFont="1" applyFill="1" applyBorder="1" applyAlignment="1">
      <alignment horizontal="left" vertical="center"/>
    </xf>
    <xf numFmtId="176" fontId="7" fillId="0" borderId="2" xfId="49" applyNumberFormat="1" applyFont="1" applyBorder="1" applyAlignment="1">
      <alignment horizontal="left" vertical="center"/>
    </xf>
    <xf numFmtId="0" fontId="7" fillId="0" borderId="2" xfId="49" applyFont="1" applyBorder="1" applyAlignment="1">
      <alignment horizontal="left" vertical="center"/>
    </xf>
    <xf numFmtId="177" fontId="7" fillId="0" borderId="2" xfId="49" applyNumberFormat="1" applyFont="1" applyBorder="1" applyAlignment="1">
      <alignment horizontal="left" vertical="center"/>
    </xf>
    <xf numFmtId="178" fontId="7" fillId="0" borderId="2" xfId="49" applyNumberFormat="1" applyFont="1" applyBorder="1" applyAlignment="1">
      <alignment horizontal="left" vertical="center"/>
    </xf>
    <xf numFmtId="0" fontId="10" fillId="2" borderId="0" xfId="0" applyFont="1" applyFill="1" applyAlignment="1"/>
    <xf numFmtId="0" fontId="11" fillId="2" borderId="0" xfId="0" applyFont="1" applyFill="1" applyAlignment="1"/>
    <xf numFmtId="0" fontId="10" fillId="2" borderId="0" xfId="0" applyFont="1" applyFill="1" applyBorder="1" applyAlignment="1"/>
    <xf numFmtId="0" fontId="10" fillId="2" borderId="0" xfId="0" applyFont="1" applyFill="1" applyAlignment="1">
      <alignment horizontal="center"/>
    </xf>
    <xf numFmtId="0" fontId="12" fillId="2" borderId="0" xfId="0" applyFont="1" applyFill="1" applyAlignment="1"/>
    <xf numFmtId="43" fontId="12" fillId="2" borderId="0" xfId="1" applyFont="1" applyFill="1" applyAlignment="1">
      <alignment vertic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/>
    <xf numFmtId="43" fontId="10" fillId="2" borderId="0" xfId="1" applyFont="1" applyFill="1" applyAlignment="1">
      <alignment vertical="center"/>
    </xf>
    <xf numFmtId="0" fontId="14" fillId="2" borderId="0" xfId="0" applyFont="1" applyFill="1" applyAlignment="1"/>
    <xf numFmtId="0" fontId="15" fillId="2" borderId="0" xfId="0" applyFont="1" applyFill="1" applyAlignment="1"/>
    <xf numFmtId="0" fontId="16" fillId="2" borderId="0" xfId="0" applyFont="1" applyFill="1" applyAlignment="1">
      <alignment horizontal="center"/>
    </xf>
    <xf numFmtId="43" fontId="16" fillId="2" borderId="0" xfId="1" applyFont="1" applyFill="1" applyAlignment="1">
      <alignment vertical="center"/>
    </xf>
    <xf numFmtId="0" fontId="17" fillId="2" borderId="0" xfId="0" applyFont="1" applyFill="1" applyAlignment="1"/>
    <xf numFmtId="0" fontId="16" fillId="2" borderId="0" xfId="0" applyFont="1" applyFill="1" applyAlignment="1"/>
    <xf numFmtId="179" fontId="17" fillId="2" borderId="0" xfId="0" applyNumberFormat="1" applyFont="1" applyFill="1" applyAlignment="1"/>
    <xf numFmtId="0" fontId="18" fillId="2" borderId="0" xfId="0" applyFont="1" applyFill="1" applyAlignment="1"/>
    <xf numFmtId="0" fontId="19" fillId="2" borderId="3" xfId="0" applyFont="1" applyFill="1" applyBorder="1" applyAlignment="1">
      <alignment vertical="center"/>
    </xf>
    <xf numFmtId="0" fontId="19" fillId="2" borderId="4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8" fillId="2" borderId="9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center"/>
    </xf>
    <xf numFmtId="43" fontId="21" fillId="2" borderId="10" xfId="1" applyFont="1" applyFill="1" applyBorder="1" applyAlignment="1">
      <alignment horizontal="center"/>
    </xf>
    <xf numFmtId="0" fontId="10" fillId="2" borderId="10" xfId="0" applyFont="1" applyFill="1" applyBorder="1" applyAlignment="1"/>
    <xf numFmtId="0" fontId="21" fillId="0" borderId="10" xfId="0" applyFont="1" applyFill="1" applyBorder="1" applyAlignment="1">
      <alignment horizontal="center"/>
    </xf>
    <xf numFmtId="43" fontId="21" fillId="0" borderId="10" xfId="1" applyFont="1" applyFill="1" applyBorder="1" applyAlignment="1">
      <alignment horizontal="center"/>
    </xf>
    <xf numFmtId="0" fontId="22" fillId="0" borderId="10" xfId="0" applyFont="1" applyFill="1" applyBorder="1" applyAlignment="1"/>
    <xf numFmtId="0" fontId="10" fillId="2" borderId="10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19" fillId="2" borderId="9" xfId="0" applyFont="1" applyFill="1" applyBorder="1" applyAlignment="1"/>
    <xf numFmtId="0" fontId="22" fillId="0" borderId="10" xfId="0" applyFont="1" applyFill="1" applyBorder="1" applyAlignment="1">
      <alignment horizontal="right"/>
    </xf>
    <xf numFmtId="43" fontId="22" fillId="0" borderId="10" xfId="1" applyFont="1" applyFill="1" applyBorder="1" applyAlignment="1"/>
    <xf numFmtId="43" fontId="22" fillId="0" borderId="10" xfId="1" applyNumberFormat="1" applyFont="1" applyFill="1" applyBorder="1" applyAlignment="1"/>
    <xf numFmtId="0" fontId="23" fillId="0" borderId="12" xfId="0" applyFont="1" applyFill="1" applyBorder="1" applyAlignment="1">
      <alignment horizontal="center" vertical="center" wrapText="1"/>
    </xf>
    <xf numFmtId="0" fontId="22" fillId="0" borderId="10" xfId="1" applyNumberFormat="1" applyFont="1" applyFill="1" applyBorder="1" applyAlignment="1">
      <alignment horizontal="right"/>
    </xf>
    <xf numFmtId="0" fontId="10" fillId="0" borderId="10" xfId="0" applyFont="1" applyFill="1" applyBorder="1" applyAlignment="1"/>
    <xf numFmtId="0" fontId="20" fillId="2" borderId="11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/>
    </xf>
    <xf numFmtId="0" fontId="24" fillId="0" borderId="13" xfId="0" applyFont="1" applyFill="1" applyBorder="1" applyAlignment="1"/>
    <xf numFmtId="0" fontId="10" fillId="0" borderId="14" xfId="0" applyFont="1" applyFill="1" applyBorder="1" applyAlignment="1"/>
    <xf numFmtId="0" fontId="14" fillId="0" borderId="15" xfId="0" applyFont="1" applyFill="1" applyBorder="1" applyAlignment="1"/>
    <xf numFmtId="0" fontId="22" fillId="0" borderId="10" xfId="0" applyNumberFormat="1" applyFont="1" applyFill="1" applyBorder="1" applyAlignment="1">
      <alignment horizontal="right"/>
    </xf>
    <xf numFmtId="0" fontId="10" fillId="0" borderId="14" xfId="0" applyFont="1" applyFill="1" applyBorder="1" applyAlignment="1">
      <alignment horizontal="right"/>
    </xf>
    <xf numFmtId="0" fontId="10" fillId="0" borderId="14" xfId="0" applyNumberFormat="1" applyFont="1" applyFill="1" applyBorder="1" applyAlignment="1">
      <alignment horizontal="right"/>
    </xf>
    <xf numFmtId="0" fontId="19" fillId="2" borderId="16" xfId="0" applyFont="1" applyFill="1" applyBorder="1" applyAlignment="1"/>
    <xf numFmtId="0" fontId="22" fillId="0" borderId="12" xfId="6" applyNumberFormat="1" applyFont="1" applyFill="1" applyBorder="1" applyAlignment="1" applyProtection="1">
      <alignment horizontal="right"/>
    </xf>
    <xf numFmtId="0" fontId="24" fillId="0" borderId="17" xfId="0" applyFont="1" applyFill="1" applyBorder="1" applyAlignment="1">
      <alignment horizontal="center"/>
    </xf>
    <xf numFmtId="0" fontId="22" fillId="0" borderId="10" xfId="6" applyNumberFormat="1" applyFont="1" applyFill="1" applyBorder="1" applyAlignment="1" applyProtection="1">
      <alignment horizontal="right"/>
    </xf>
    <xf numFmtId="0" fontId="10" fillId="2" borderId="10" xfId="0" applyFont="1" applyFill="1" applyBorder="1" applyAlignment="1">
      <alignment horizontal="right"/>
    </xf>
    <xf numFmtId="0" fontId="22" fillId="0" borderId="14" xfId="6" applyNumberFormat="1" applyFont="1" applyFill="1" applyBorder="1" applyAlignment="1" applyProtection="1">
      <alignment horizontal="right"/>
    </xf>
    <xf numFmtId="0" fontId="19" fillId="0" borderId="9" xfId="0" applyFont="1" applyFill="1" applyBorder="1" applyAlignment="1"/>
    <xf numFmtId="0" fontId="10" fillId="0" borderId="10" xfId="0" applyFont="1" applyFill="1" applyBorder="1" applyAlignment="1">
      <alignment horizontal="right"/>
    </xf>
    <xf numFmtId="0" fontId="19" fillId="0" borderId="9" xfId="0" applyFont="1" applyFill="1" applyBorder="1" applyAlignment="1">
      <alignment wrapText="1"/>
    </xf>
    <xf numFmtId="0" fontId="25" fillId="2" borderId="9" xfId="0" applyFont="1" applyFill="1" applyBorder="1" applyAlignment="1"/>
    <xf numFmtId="0" fontId="26" fillId="0" borderId="10" xfId="0" applyFont="1" applyFill="1" applyBorder="1" applyAlignment="1">
      <alignment horizontal="right"/>
    </xf>
    <xf numFmtId="43" fontId="26" fillId="0" borderId="10" xfId="1" applyFont="1" applyFill="1" applyBorder="1" applyAlignment="1"/>
    <xf numFmtId="43" fontId="26" fillId="0" borderId="10" xfId="1" applyNumberFormat="1" applyFont="1" applyFill="1" applyBorder="1" applyAlignment="1"/>
    <xf numFmtId="0" fontId="24" fillId="0" borderId="14" xfId="0" applyFont="1" applyFill="1" applyBorder="1" applyAlignment="1">
      <alignment horizontal="center"/>
    </xf>
    <xf numFmtId="0" fontId="25" fillId="0" borderId="10" xfId="0" applyFont="1" applyFill="1" applyBorder="1" applyAlignment="1">
      <alignment horizontal="right"/>
    </xf>
    <xf numFmtId="0" fontId="24" fillId="0" borderId="14" xfId="0" applyFont="1" applyFill="1" applyBorder="1" applyAlignment="1"/>
    <xf numFmtId="0" fontId="14" fillId="0" borderId="18" xfId="0" applyFont="1" applyFill="1" applyBorder="1" applyAlignment="1"/>
    <xf numFmtId="0" fontId="10" fillId="2" borderId="19" xfId="0" applyFont="1" applyFill="1" applyBorder="1" applyAlignment="1"/>
    <xf numFmtId="43" fontId="10" fillId="2" borderId="0" xfId="0" applyNumberFormat="1" applyFont="1" applyFill="1" applyBorder="1" applyAlignment="1"/>
    <xf numFmtId="43" fontId="10" fillId="2" borderId="0" xfId="1" applyFont="1" applyFill="1" applyBorder="1" applyAlignment="1">
      <alignment vertical="center"/>
    </xf>
    <xf numFmtId="0" fontId="10" fillId="2" borderId="0" xfId="0" applyFont="1" applyFill="1" applyBorder="1" applyAlignment="1">
      <alignment horizontal="center"/>
    </xf>
    <xf numFmtId="0" fontId="10" fillId="2" borderId="20" xfId="0" applyFont="1" applyFill="1" applyBorder="1" applyAlignment="1"/>
    <xf numFmtId="0" fontId="11" fillId="2" borderId="21" xfId="0" applyFont="1" applyFill="1" applyBorder="1" applyAlignment="1"/>
    <xf numFmtId="0" fontId="11" fillId="2" borderId="1" xfId="0" applyFont="1" applyFill="1" applyBorder="1" applyAlignment="1"/>
    <xf numFmtId="43" fontId="11" fillId="2" borderId="1" xfId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1" fillId="2" borderId="22" xfId="0" applyFont="1" applyFill="1" applyBorder="1" applyAlignment="1"/>
    <xf numFmtId="0" fontId="19" fillId="2" borderId="23" xfId="0" applyFont="1" applyFill="1" applyBorder="1" applyAlignment="1">
      <alignment wrapText="1"/>
    </xf>
    <xf numFmtId="0" fontId="27" fillId="0" borderId="24" xfId="0" applyFont="1" applyFill="1" applyBorder="1" applyAlignment="1">
      <alignment wrapText="1"/>
    </xf>
    <xf numFmtId="0" fontId="27" fillId="0" borderId="25" xfId="0" applyFont="1" applyFill="1" applyBorder="1" applyAlignment="1">
      <alignment wrapText="1"/>
    </xf>
    <xf numFmtId="0" fontId="19" fillId="2" borderId="19" xfId="0" applyFont="1" applyFill="1" applyBorder="1" applyAlignment="1"/>
    <xf numFmtId="0" fontId="28" fillId="0" borderId="10" xfId="0" applyFont="1" applyFill="1" applyBorder="1" applyAlignment="1">
      <alignment horizontal="center" vertical="center" wrapText="1"/>
    </xf>
    <xf numFmtId="180" fontId="28" fillId="0" borderId="10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Normal_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6032;&#23186;&#20307;2025&#24180;Q1&#36164;&#20135;&#25253;&#24223;&#30003;&#35831;&#34920;--&#25253;&#24223;&#27169;&#26495;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HU新媒体资产报废申请"/>
      <sheetName val="SOHU新媒体资产报废申请 (2)"/>
      <sheetName val="已到报废期资产"/>
      <sheetName val="丢失"/>
    </sheetNames>
    <sheetDataSet>
      <sheetData sheetId="0"/>
      <sheetData sheetId="1"/>
      <sheetData sheetId="2"/>
      <sheetData sheetId="3">
        <row r="6">
          <cell r="F6">
            <v>2</v>
          </cell>
          <cell r="G6">
            <v>13076.92</v>
          </cell>
        </row>
        <row r="6">
          <cell r="K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workbookViewId="0">
      <selection activeCell="Q13" sqref="Q13"/>
    </sheetView>
  </sheetViews>
  <sheetFormatPr defaultColWidth="13.25" defaultRowHeight="18" customHeight="1"/>
  <cols>
    <col min="1" max="1" width="17.625" style="56" customWidth="1"/>
    <col min="2" max="2" width="5.625" style="56" customWidth="1"/>
    <col min="3" max="3" width="11.625" style="56" customWidth="1"/>
    <col min="4" max="5" width="11.25" style="56" customWidth="1"/>
    <col min="6" max="6" width="5.625" style="59" customWidth="1"/>
    <col min="7" max="7" width="10.5" style="56" customWidth="1"/>
    <col min="8" max="8" width="11.25" style="56" customWidth="1"/>
    <col min="9" max="9" width="11.625" style="56" customWidth="1"/>
    <col min="10" max="10" width="5.625" style="56" customWidth="1"/>
    <col min="11" max="11" width="10.5" style="56" customWidth="1"/>
    <col min="12" max="12" width="11.25" style="56" customWidth="1"/>
    <col min="13" max="13" width="10.625" style="56" customWidth="1"/>
    <col min="14" max="16384" width="13.25" style="56"/>
  </cols>
  <sheetData>
    <row r="1" ht="21.95" customHeight="1"/>
    <row r="2" s="56" customFormat="1" ht="21.95" customHeight="1" spans="1:13">
      <c r="E2" s="60" t="s">
        <v>0</v>
      </c>
      <c r="F2" s="59"/>
      <c r="G2" s="61"/>
      <c r="H2" s="60"/>
    </row>
    <row r="3" s="56" customFormat="1" ht="11.25" customHeight="1" spans="1:13">
      <c r="E3" s="60"/>
      <c r="F3" s="62"/>
      <c r="G3" s="60"/>
      <c r="H3" s="60"/>
    </row>
    <row r="4" s="56" customFormat="1" ht="21.95" customHeight="1" spans="1:13">
      <c r="E4" s="63" t="s">
        <v>1</v>
      </c>
      <c r="F4" s="62"/>
      <c r="G4" s="61"/>
      <c r="H4" s="60"/>
    </row>
    <row r="5" s="56" customFormat="1" ht="21.95" customHeight="1" spans="1:13">
      <c r="F5" s="59"/>
      <c r="G5" s="64"/>
    </row>
    <row r="6" s="56" customFormat="1" ht="21.95" customHeight="1" spans="1:13">
      <c r="D6" s="65" t="s">
        <v>2</v>
      </c>
      <c r="E6" s="66" t="s">
        <v>3</v>
      </c>
      <c r="F6" s="67"/>
      <c r="G6" s="68"/>
      <c r="H6" s="65" t="s">
        <v>4</v>
      </c>
      <c r="I6" s="69" t="s">
        <v>5</v>
      </c>
    </row>
    <row r="7" s="56" customFormat="1" ht="10.5" customHeight="1" spans="1:13">
      <c r="D7" s="70"/>
      <c r="E7" s="70"/>
      <c r="F7" s="67"/>
      <c r="G7" s="68"/>
      <c r="H7" s="70"/>
      <c r="I7" s="70"/>
    </row>
    <row r="8" s="56" customFormat="1" ht="21.95" customHeight="1" spans="1:13">
      <c r="D8" s="65" t="s">
        <v>6</v>
      </c>
      <c r="E8" s="66" t="s">
        <v>7</v>
      </c>
      <c r="F8" s="67"/>
      <c r="G8" s="68"/>
      <c r="H8" s="65" t="s">
        <v>8</v>
      </c>
      <c r="I8" s="71" t="s">
        <v>9</v>
      </c>
    </row>
    <row r="9" s="56" customFormat="1" ht="21.95" customHeight="1" spans="1:13">
      <c r="A9" s="72"/>
      <c r="D9" s="64"/>
      <c r="F9" s="59"/>
    </row>
    <row r="10" s="56" customFormat="1" ht="26.1" customHeight="1" spans="1:13">
      <c r="A10" s="73" t="s">
        <v>10</v>
      </c>
      <c r="B10" s="74" t="s">
        <v>11</v>
      </c>
      <c r="C10" s="74"/>
      <c r="D10" s="74"/>
      <c r="E10" s="74"/>
      <c r="F10" s="75" t="s">
        <v>12</v>
      </c>
      <c r="G10" s="76"/>
      <c r="H10" s="76"/>
      <c r="I10" s="77"/>
      <c r="J10" s="74" t="s">
        <v>13</v>
      </c>
      <c r="K10" s="74"/>
      <c r="L10" s="74"/>
      <c r="M10" s="78"/>
    </row>
    <row r="11" s="56" customFormat="1" ht="26.1" customHeight="1" spans="1:13">
      <c r="A11" s="79"/>
      <c r="B11" s="80" t="s">
        <v>14</v>
      </c>
      <c r="C11" s="81" t="s">
        <v>15</v>
      </c>
      <c r="D11" s="82" t="s">
        <v>16</v>
      </c>
      <c r="E11" s="80" t="s">
        <v>17</v>
      </c>
      <c r="F11" s="83" t="s">
        <v>14</v>
      </c>
      <c r="G11" s="84" t="s">
        <v>15</v>
      </c>
      <c r="H11" s="85" t="s">
        <v>18</v>
      </c>
      <c r="I11" s="83" t="s">
        <v>17</v>
      </c>
      <c r="J11" s="80" t="s">
        <v>14</v>
      </c>
      <c r="K11" s="81" t="s">
        <v>15</v>
      </c>
      <c r="L11" s="86" t="s">
        <v>16</v>
      </c>
      <c r="M11" s="87" t="s">
        <v>17</v>
      </c>
    </row>
    <row r="12" s="56" customFormat="1" ht="26.1" customHeight="1" spans="1:13">
      <c r="A12" s="88" t="s">
        <v>19</v>
      </c>
      <c r="B12" s="89"/>
      <c r="C12" s="90">
        <v>0</v>
      </c>
      <c r="D12" s="91">
        <v>0</v>
      </c>
      <c r="E12" s="92" t="s">
        <v>20</v>
      </c>
      <c r="F12" s="93"/>
      <c r="G12" s="90">
        <v>0</v>
      </c>
      <c r="H12" s="91">
        <v>0</v>
      </c>
      <c r="I12" s="92" t="s">
        <v>21</v>
      </c>
      <c r="J12" s="94"/>
      <c r="K12" s="90">
        <v>0</v>
      </c>
      <c r="L12" s="91">
        <v>0</v>
      </c>
      <c r="M12" s="95" t="s">
        <v>22</v>
      </c>
    </row>
    <row r="13" s="56" customFormat="1" ht="26.1" customHeight="1" spans="1:13">
      <c r="A13" s="88" t="s">
        <v>23</v>
      </c>
      <c r="B13" s="89"/>
      <c r="C13" s="90">
        <v>0</v>
      </c>
      <c r="D13" s="91">
        <v>0</v>
      </c>
      <c r="E13" s="96"/>
      <c r="F13" s="89"/>
      <c r="G13" s="90">
        <v>0</v>
      </c>
      <c r="H13" s="91">
        <v>0</v>
      </c>
      <c r="I13" s="97"/>
      <c r="J13" s="98"/>
      <c r="K13" s="90">
        <v>0</v>
      </c>
      <c r="L13" s="91">
        <v>0</v>
      </c>
      <c r="M13" s="99"/>
    </row>
    <row r="14" s="56" customFormat="1" ht="26.1" customHeight="1" spans="1:13">
      <c r="A14" s="88" t="s">
        <v>24</v>
      </c>
      <c r="B14" s="89"/>
      <c r="C14" s="90">
        <v>0</v>
      </c>
      <c r="D14" s="91">
        <v>0</v>
      </c>
      <c r="E14" s="96"/>
      <c r="F14" s="89"/>
      <c r="G14" s="90">
        <v>0</v>
      </c>
      <c r="H14" s="91">
        <v>0</v>
      </c>
      <c r="I14" s="97"/>
      <c r="J14" s="98"/>
      <c r="K14" s="90">
        <v>0</v>
      </c>
      <c r="L14" s="91">
        <v>0</v>
      </c>
      <c r="M14" s="99"/>
    </row>
    <row r="15" s="56" customFormat="1" ht="26.1" customHeight="1" spans="1:13">
      <c r="A15" s="88" t="s">
        <v>25</v>
      </c>
      <c r="B15" s="89"/>
      <c r="C15" s="90">
        <v>0</v>
      </c>
      <c r="D15" s="91">
        <v>0</v>
      </c>
      <c r="E15" s="96"/>
      <c r="F15" s="100"/>
      <c r="G15" s="90">
        <v>0</v>
      </c>
      <c r="H15" s="91">
        <v>0</v>
      </c>
      <c r="I15" s="97"/>
      <c r="J15" s="101">
        <f>[1]丢失!F6</f>
        <v>2</v>
      </c>
      <c r="K15" s="90">
        <f>[1]丢失!G6</f>
        <v>13076.92</v>
      </c>
      <c r="L15" s="91">
        <f>[1]丢失!K6</f>
        <v>0</v>
      </c>
      <c r="M15" s="99"/>
    </row>
    <row r="16" s="56" customFormat="1" ht="26.1" customHeight="1" spans="1:13">
      <c r="A16" s="88" t="s">
        <v>26</v>
      </c>
      <c r="B16" s="89"/>
      <c r="C16" s="90">
        <v>0</v>
      </c>
      <c r="D16" s="91">
        <v>0</v>
      </c>
      <c r="E16" s="96"/>
      <c r="F16" s="89"/>
      <c r="G16" s="90">
        <v>0</v>
      </c>
      <c r="H16" s="91">
        <v>0</v>
      </c>
      <c r="I16" s="97"/>
      <c r="J16" s="101"/>
      <c r="K16" s="90">
        <v>0</v>
      </c>
      <c r="L16" s="91">
        <v>0</v>
      </c>
      <c r="M16" s="99"/>
    </row>
    <row r="17" s="56" customFormat="1" ht="26.1" customHeight="1" spans="1:18">
      <c r="A17" s="88" t="s">
        <v>27</v>
      </c>
      <c r="B17" s="89"/>
      <c r="C17" s="90">
        <v>0</v>
      </c>
      <c r="D17" s="91">
        <v>0</v>
      </c>
      <c r="E17" s="96"/>
      <c r="F17" s="89"/>
      <c r="G17" s="90">
        <v>0</v>
      </c>
      <c r="H17" s="91">
        <v>0</v>
      </c>
      <c r="I17" s="97"/>
      <c r="J17" s="102"/>
      <c r="K17" s="90">
        <v>0</v>
      </c>
      <c r="L17" s="91">
        <v>0</v>
      </c>
      <c r="M17" s="99"/>
    </row>
    <row r="18" s="56" customFormat="1" ht="26.1" customHeight="1" spans="1:18">
      <c r="A18" s="103" t="s">
        <v>28</v>
      </c>
      <c r="B18" s="89"/>
      <c r="C18" s="90">
        <v>0</v>
      </c>
      <c r="D18" s="91">
        <v>0</v>
      </c>
      <c r="E18" s="96"/>
      <c r="F18" s="89"/>
      <c r="G18" s="90">
        <v>0</v>
      </c>
      <c r="H18" s="91">
        <v>0</v>
      </c>
      <c r="I18" s="97"/>
      <c r="J18" s="101"/>
      <c r="K18" s="90">
        <v>0</v>
      </c>
      <c r="L18" s="91">
        <v>0</v>
      </c>
      <c r="M18" s="99"/>
    </row>
    <row r="19" s="56" customFormat="1" ht="26.1" customHeight="1" spans="1:18">
      <c r="A19" s="88" t="s">
        <v>29</v>
      </c>
      <c r="B19" s="89">
        <v>16</v>
      </c>
      <c r="C19" s="90">
        <v>597827.95</v>
      </c>
      <c r="D19" s="91">
        <v>0</v>
      </c>
      <c r="E19" s="96"/>
      <c r="F19" s="104"/>
      <c r="G19" s="90">
        <v>0</v>
      </c>
      <c r="H19" s="91">
        <v>0</v>
      </c>
      <c r="I19" s="97"/>
      <c r="J19" s="101"/>
      <c r="K19" s="90">
        <v>0</v>
      </c>
      <c r="L19" s="91">
        <v>0</v>
      </c>
      <c r="M19" s="99"/>
    </row>
    <row r="20" s="56" customFormat="1" ht="26.1" customHeight="1" spans="1:18">
      <c r="A20" s="88" t="s">
        <v>30</v>
      </c>
      <c r="B20" s="89">
        <v>9</v>
      </c>
      <c r="C20" s="90">
        <v>10150</v>
      </c>
      <c r="D20" s="91">
        <v>0</v>
      </c>
      <c r="E20" s="105"/>
      <c r="F20" s="106"/>
      <c r="G20" s="90">
        <v>0</v>
      </c>
      <c r="H20" s="91">
        <v>0</v>
      </c>
      <c r="I20" s="97"/>
      <c r="J20" s="101"/>
      <c r="K20" s="90">
        <v>0</v>
      </c>
      <c r="L20" s="91">
        <v>0</v>
      </c>
      <c r="M20" s="99"/>
      <c r="R20" s="56" t="s">
        <v>31</v>
      </c>
    </row>
    <row r="21" s="56" customFormat="1" ht="26.1" customHeight="1" spans="1:18">
      <c r="A21" s="103" t="s">
        <v>32</v>
      </c>
      <c r="B21" s="107"/>
      <c r="C21" s="90">
        <v>0</v>
      </c>
      <c r="D21" s="91">
        <v>0</v>
      </c>
      <c r="E21" s="96"/>
      <c r="F21" s="108"/>
      <c r="G21" s="90">
        <v>0</v>
      </c>
      <c r="H21" s="91">
        <v>0</v>
      </c>
      <c r="I21" s="97"/>
      <c r="J21" s="101"/>
      <c r="K21" s="90">
        <v>0</v>
      </c>
      <c r="L21" s="91">
        <v>0</v>
      </c>
      <c r="M21" s="99"/>
    </row>
    <row r="22" s="56" customFormat="1" ht="26.1" customHeight="1" spans="1:18">
      <c r="A22" s="103" t="s">
        <v>33</v>
      </c>
      <c r="B22" s="89"/>
      <c r="C22" s="90">
        <v>0</v>
      </c>
      <c r="D22" s="91">
        <v>0</v>
      </c>
      <c r="E22" s="96"/>
      <c r="F22" s="89"/>
      <c r="G22" s="90">
        <v>0</v>
      </c>
      <c r="H22" s="91">
        <v>0</v>
      </c>
      <c r="I22" s="97"/>
      <c r="J22" s="101"/>
      <c r="K22" s="90">
        <v>0</v>
      </c>
      <c r="L22" s="91">
        <v>0</v>
      </c>
      <c r="M22" s="99"/>
    </row>
    <row r="23" s="56" customFormat="1" ht="26.1" customHeight="1" spans="1:18">
      <c r="A23" s="109" t="s">
        <v>34</v>
      </c>
      <c r="B23" s="89"/>
      <c r="C23" s="90">
        <v>0</v>
      </c>
      <c r="D23" s="91">
        <v>0</v>
      </c>
      <c r="E23" s="96"/>
      <c r="F23" s="89"/>
      <c r="G23" s="90">
        <v>0</v>
      </c>
      <c r="H23" s="91">
        <v>0</v>
      </c>
      <c r="I23" s="97"/>
      <c r="J23" s="110"/>
      <c r="K23" s="90">
        <v>0</v>
      </c>
      <c r="L23" s="91">
        <v>0</v>
      </c>
      <c r="M23" s="99"/>
    </row>
    <row r="24" s="56" customFormat="1" ht="26.1" customHeight="1" spans="1:18">
      <c r="A24" s="111" t="s">
        <v>35</v>
      </c>
      <c r="B24" s="100"/>
      <c r="C24" s="90">
        <v>0</v>
      </c>
      <c r="D24" s="91">
        <v>0</v>
      </c>
      <c r="E24" s="96"/>
      <c r="F24" s="89"/>
      <c r="G24" s="90">
        <v>0</v>
      </c>
      <c r="H24" s="91">
        <v>0</v>
      </c>
      <c r="I24" s="97"/>
      <c r="J24" s="110"/>
      <c r="K24" s="90">
        <v>0</v>
      </c>
      <c r="L24" s="91">
        <v>0</v>
      </c>
      <c r="M24" s="99"/>
    </row>
    <row r="25" s="56" customFormat="1" ht="26.1" customHeight="1" spans="1:18">
      <c r="A25" s="112" t="s">
        <v>36</v>
      </c>
      <c r="B25" s="113">
        <f t="shared" ref="B25:H25" si="0">SUM(B12:B24)</f>
        <v>25</v>
      </c>
      <c r="C25" s="114">
        <f t="shared" si="0"/>
        <v>607977.95</v>
      </c>
      <c r="D25" s="115">
        <f t="shared" si="0"/>
        <v>0</v>
      </c>
      <c r="E25" s="116"/>
      <c r="F25" s="117">
        <f t="shared" si="0"/>
        <v>0</v>
      </c>
      <c r="G25" s="114">
        <f t="shared" si="0"/>
        <v>0</v>
      </c>
      <c r="H25" s="115">
        <f t="shared" si="0"/>
        <v>0</v>
      </c>
      <c r="I25" s="118"/>
      <c r="J25" s="117">
        <f t="shared" ref="J25:L25" si="1">SUM(J12:J24)</f>
        <v>2</v>
      </c>
      <c r="K25" s="114">
        <f t="shared" si="1"/>
        <v>13076.92</v>
      </c>
      <c r="L25" s="115">
        <f t="shared" si="1"/>
        <v>0</v>
      </c>
      <c r="M25" s="119"/>
    </row>
    <row r="26" s="56" customFormat="1" ht="26.1" customHeight="1" spans="1:18">
      <c r="A26" s="120"/>
      <c r="B26" s="58"/>
      <c r="C26" s="121"/>
      <c r="D26" s="122"/>
      <c r="E26" s="58"/>
      <c r="F26" s="123"/>
      <c r="G26" s="121"/>
      <c r="H26" s="121"/>
      <c r="I26" s="58"/>
      <c r="J26" s="58"/>
      <c r="K26" s="58"/>
      <c r="L26" s="58"/>
      <c r="M26" s="124"/>
    </row>
    <row r="27" s="57" customFormat="1" ht="26.1" customHeight="1" spans="1:18">
      <c r="A27" s="125" t="s">
        <v>37</v>
      </c>
      <c r="B27" s="126"/>
      <c r="C27" s="126"/>
      <c r="D27" s="127"/>
      <c r="E27" s="126"/>
      <c r="F27" s="128"/>
      <c r="G27" s="126"/>
      <c r="H27" s="126"/>
      <c r="I27" s="126"/>
      <c r="J27" s="126"/>
      <c r="K27" s="126"/>
      <c r="L27" s="126"/>
      <c r="M27" s="129"/>
    </row>
    <row r="28" s="56" customFormat="1" ht="24.75" customHeight="1" spans="1:18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="58" customFormat="1" ht="21.95" customHeight="1" spans="1:18">
      <c r="A29" s="133" t="s">
        <v>38</v>
      </c>
      <c r="B29" s="123"/>
      <c r="D29" s="122"/>
      <c r="F29" s="123"/>
      <c r="M29" s="124"/>
    </row>
    <row r="30" s="56" customFormat="1" ht="21.95" customHeight="1" spans="1:18">
      <c r="A30" s="134" t="s">
        <v>39</v>
      </c>
      <c r="B30" s="134" t="s">
        <v>40</v>
      </c>
      <c r="C30" s="134"/>
      <c r="D30" s="134"/>
      <c r="E30" s="134" t="s">
        <v>41</v>
      </c>
      <c r="F30" s="134"/>
      <c r="G30" s="134"/>
      <c r="H30" s="134" t="s">
        <v>42</v>
      </c>
      <c r="I30" s="134"/>
      <c r="J30" s="134"/>
      <c r="K30" s="134" t="s">
        <v>43</v>
      </c>
      <c r="L30" s="134"/>
      <c r="M30" s="134"/>
    </row>
    <row r="31" s="56" customFormat="1" ht="21.95" customHeight="1" spans="1:18">
      <c r="A31" s="86">
        <v>1</v>
      </c>
      <c r="B31" s="134" t="s">
        <v>44</v>
      </c>
      <c r="C31" s="134"/>
      <c r="D31" s="134"/>
      <c r="E31" s="134" t="s">
        <v>45</v>
      </c>
      <c r="F31" s="134"/>
      <c r="G31" s="134"/>
      <c r="H31" s="135">
        <v>46277.5233101852</v>
      </c>
      <c r="I31" s="135"/>
      <c r="J31" s="135"/>
      <c r="K31" s="134" t="s">
        <v>46</v>
      </c>
      <c r="L31" s="134"/>
      <c r="M31" s="134"/>
    </row>
    <row r="32" s="56" customFormat="1" ht="21.95" customHeight="1" spans="1:18">
      <c r="A32" s="86">
        <v>2</v>
      </c>
      <c r="B32" s="134" t="s">
        <v>47</v>
      </c>
      <c r="C32" s="134"/>
      <c r="D32" s="134"/>
      <c r="E32" s="134" t="s">
        <v>48</v>
      </c>
      <c r="F32" s="134"/>
      <c r="G32" s="134"/>
      <c r="H32" s="135">
        <v>46278.5233101852</v>
      </c>
      <c r="I32" s="135"/>
      <c r="J32" s="135"/>
      <c r="K32" s="134" t="s">
        <v>46</v>
      </c>
      <c r="L32" s="134"/>
      <c r="M32" s="134"/>
    </row>
    <row r="33" s="56" customFormat="1" ht="21.95" customHeight="1" spans="1:13">
      <c r="A33" s="86">
        <v>3</v>
      </c>
      <c r="B33" s="134" t="s">
        <v>49</v>
      </c>
      <c r="C33" s="134"/>
      <c r="D33" s="134"/>
      <c r="E33" s="134" t="s">
        <v>50</v>
      </c>
      <c r="F33" s="134"/>
      <c r="G33" s="134"/>
      <c r="H33" s="135">
        <v>46279.5233101852</v>
      </c>
      <c r="I33" s="135"/>
      <c r="J33" s="135"/>
      <c r="K33" s="134" t="s">
        <v>46</v>
      </c>
      <c r="L33" s="134"/>
      <c r="M33" s="134"/>
    </row>
    <row r="34" s="56" customFormat="1" ht="21.95" customHeight="1" spans="1:13">
      <c r="A34" s="86">
        <v>4</v>
      </c>
      <c r="B34" s="134" t="s">
        <v>51</v>
      </c>
      <c r="C34" s="134"/>
      <c r="D34" s="134"/>
      <c r="E34" s="134" t="s">
        <v>52</v>
      </c>
      <c r="F34" s="134"/>
      <c r="G34" s="134"/>
      <c r="H34" s="135">
        <v>46281.5233101852</v>
      </c>
      <c r="I34" s="135"/>
      <c r="J34" s="135"/>
      <c r="K34" s="134" t="s">
        <v>46</v>
      </c>
      <c r="L34" s="134"/>
      <c r="M34" s="134"/>
    </row>
    <row r="35" s="56" customFormat="1" ht="21.95" customHeight="1" spans="1:13">
      <c r="A35" s="86">
        <v>5</v>
      </c>
      <c r="B35" s="134" t="s">
        <v>53</v>
      </c>
      <c r="C35" s="134"/>
      <c r="D35" s="134"/>
      <c r="E35" s="134" t="s">
        <v>7</v>
      </c>
      <c r="F35" s="134"/>
      <c r="G35" s="134"/>
      <c r="H35" s="135">
        <v>46282.5233101852</v>
      </c>
      <c r="I35" s="135"/>
      <c r="J35" s="135"/>
      <c r="K35" s="134" t="s">
        <v>46</v>
      </c>
      <c r="L35" s="134"/>
      <c r="M35" s="134"/>
    </row>
    <row r="36" s="56" customFormat="1" ht="21.95" customHeight="1" spans="1:13">
      <c r="A36" s="86">
        <v>6</v>
      </c>
      <c r="B36" s="134" t="s">
        <v>54</v>
      </c>
      <c r="C36" s="134"/>
      <c r="D36" s="134"/>
      <c r="E36" s="134" t="s">
        <v>48</v>
      </c>
      <c r="F36" s="134"/>
      <c r="G36" s="134"/>
      <c r="H36" s="135">
        <v>46283.5233101852</v>
      </c>
      <c r="I36" s="135"/>
      <c r="J36" s="135"/>
      <c r="K36" s="134" t="s">
        <v>46</v>
      </c>
      <c r="L36" s="134"/>
      <c r="M36" s="134"/>
    </row>
    <row r="37" s="56" customFormat="1" ht="21.95" customHeight="1" spans="1:13">
      <c r="A37" s="86">
        <v>7</v>
      </c>
      <c r="B37" s="134" t="s">
        <v>55</v>
      </c>
      <c r="C37" s="134"/>
      <c r="D37" s="134"/>
      <c r="E37" s="134" t="s">
        <v>56</v>
      </c>
      <c r="F37" s="134"/>
      <c r="G37" s="134"/>
      <c r="H37" s="135">
        <v>46284.5233101852</v>
      </c>
      <c r="I37" s="135"/>
      <c r="J37" s="135"/>
      <c r="K37" s="134" t="s">
        <v>46</v>
      </c>
      <c r="L37" s="134"/>
      <c r="M37" s="134"/>
    </row>
    <row r="38" s="56" customFormat="1" ht="21.95" customHeight="1" spans="1:13">
      <c r="A38" s="86">
        <v>8</v>
      </c>
      <c r="B38" s="134" t="s">
        <v>57</v>
      </c>
      <c r="C38" s="134"/>
      <c r="D38" s="134"/>
      <c r="E38" s="134" t="s">
        <v>58</v>
      </c>
      <c r="F38" s="134"/>
      <c r="G38" s="134"/>
      <c r="H38" s="135">
        <v>46285.5233101852</v>
      </c>
      <c r="I38" s="135"/>
      <c r="J38" s="135"/>
      <c r="K38" s="134" t="s">
        <v>46</v>
      </c>
      <c r="L38" s="134"/>
      <c r="M38" s="134"/>
    </row>
    <row r="39" s="56" customFormat="1" ht="21.95" customHeight="1" spans="1:13">
      <c r="A39" s="86">
        <v>9</v>
      </c>
      <c r="B39" s="134" t="s">
        <v>59</v>
      </c>
      <c r="C39" s="134"/>
      <c r="D39" s="134"/>
      <c r="E39" s="134" t="s">
        <v>45</v>
      </c>
      <c r="F39" s="134"/>
      <c r="G39" s="134"/>
      <c r="H39" s="135">
        <v>46286.5233101852</v>
      </c>
      <c r="I39" s="135"/>
      <c r="J39" s="135"/>
      <c r="K39" s="134" t="s">
        <v>46</v>
      </c>
      <c r="L39" s="134"/>
      <c r="M39" s="134"/>
    </row>
  </sheetData>
  <sheetProtection formatCells="0" formatColumns="0" formatRows="0" insertRows="0" insertColumns="0" insertHyperlinks="0" deleteColumns="0" deleteRows="0" sort="0" autoFilter="0" pivotTables="0"/>
  <mergeCells count="48">
    <mergeCell ref="B10:E10"/>
    <mergeCell ref="F10:I10"/>
    <mergeCell ref="J10:M10"/>
    <mergeCell ref="A28:M28"/>
    <mergeCell ref="B30:D30"/>
    <mergeCell ref="E30:G30"/>
    <mergeCell ref="H30:J30"/>
    <mergeCell ref="K30:M30"/>
    <mergeCell ref="B31:D31"/>
    <mergeCell ref="E31:G31"/>
    <mergeCell ref="H31:J31"/>
    <mergeCell ref="K31:M31"/>
    <mergeCell ref="B32:D32"/>
    <mergeCell ref="E32:G32"/>
    <mergeCell ref="H32:J32"/>
    <mergeCell ref="K32:M32"/>
    <mergeCell ref="B33:D33"/>
    <mergeCell ref="E33:G33"/>
    <mergeCell ref="H33:J33"/>
    <mergeCell ref="K33:M33"/>
    <mergeCell ref="B34:D34"/>
    <mergeCell ref="E34:G34"/>
    <mergeCell ref="H34:J34"/>
    <mergeCell ref="K34:M34"/>
    <mergeCell ref="B35:D35"/>
    <mergeCell ref="E35:G35"/>
    <mergeCell ref="H35:J35"/>
    <mergeCell ref="K35:M35"/>
    <mergeCell ref="B36:D36"/>
    <mergeCell ref="E36:G36"/>
    <mergeCell ref="H36:J36"/>
    <mergeCell ref="K36:M36"/>
    <mergeCell ref="B37:D37"/>
    <mergeCell ref="E37:G37"/>
    <mergeCell ref="H37:J37"/>
    <mergeCell ref="K37:M37"/>
    <mergeCell ref="B38:D38"/>
    <mergeCell ref="E38:G38"/>
    <mergeCell ref="H38:J38"/>
    <mergeCell ref="K38:M38"/>
    <mergeCell ref="B39:D39"/>
    <mergeCell ref="E39:G39"/>
    <mergeCell ref="H39:J39"/>
    <mergeCell ref="K39:M39"/>
    <mergeCell ref="A10:A11"/>
    <mergeCell ref="E12:E25"/>
    <mergeCell ref="I12:I25"/>
    <mergeCell ref="M12:M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G16" sqref="G16"/>
    </sheetView>
  </sheetViews>
  <sheetFormatPr defaultColWidth="9" defaultRowHeight="16.8" outlineLevelRow="5"/>
  <cols>
    <col min="1" max="1" width="14" customWidth="1"/>
    <col min="2" max="2" width="12.125" customWidth="1"/>
    <col min="3" max="3" width="9.25" customWidth="1"/>
    <col min="4" max="4" width="11.125" customWidth="1"/>
    <col min="5" max="5" width="16.25" customWidth="1"/>
    <col min="7" max="7" width="11.5" customWidth="1"/>
    <col min="8" max="8" width="9.25" customWidth="1"/>
    <col min="9" max="9" width="7.625" customWidth="1"/>
    <col min="10" max="10" width="11.5" customWidth="1"/>
    <col min="12" max="13" width="10.125" customWidth="1"/>
    <col min="14" max="14" width="12.25" customWidth="1"/>
    <col min="15" max="16" width="12.125" customWidth="1"/>
  </cols>
  <sheetData>
    <row r="1" s="28" customFormat="1" ht="14.25" customHeight="1" spans="1:16">
      <c r="A1" s="31" t="s">
        <v>11</v>
      </c>
      <c r="B1" s="32"/>
      <c r="C1" s="33"/>
      <c r="D1" s="33"/>
      <c r="E1" s="33"/>
      <c r="F1" s="34"/>
      <c r="G1" s="35"/>
      <c r="H1" s="35"/>
      <c r="I1" s="35"/>
      <c r="J1" s="35"/>
      <c r="K1" s="35"/>
      <c r="L1" s="35"/>
      <c r="M1" s="35"/>
      <c r="N1" s="35"/>
      <c r="O1" s="35"/>
    </row>
    <row r="2" s="29" customFormat="1" ht="46" spans="1:16">
      <c r="A2" s="36" t="s">
        <v>60</v>
      </c>
      <c r="B2" s="37" t="s">
        <v>61</v>
      </c>
      <c r="C2" s="36" t="s">
        <v>62</v>
      </c>
      <c r="D2" s="36" t="s">
        <v>63</v>
      </c>
      <c r="E2" s="36" t="s">
        <v>64</v>
      </c>
      <c r="F2" s="38" t="s">
        <v>14</v>
      </c>
      <c r="G2" s="39" t="s">
        <v>15</v>
      </c>
      <c r="H2" s="39" t="s">
        <v>65</v>
      </c>
      <c r="I2" s="40" t="s">
        <v>66</v>
      </c>
      <c r="J2" s="39" t="s">
        <v>67</v>
      </c>
      <c r="K2" s="39" t="s">
        <v>68</v>
      </c>
      <c r="L2" s="36" t="s">
        <v>69</v>
      </c>
      <c r="M2" s="36" t="s">
        <v>70</v>
      </c>
      <c r="N2" s="36" t="s">
        <v>71</v>
      </c>
      <c r="O2" s="36" t="s">
        <v>72</v>
      </c>
      <c r="P2" s="36" t="s">
        <v>73</v>
      </c>
    </row>
    <row r="3" s="30" customFormat="1" ht="14.25" customHeight="1" spans="1:16">
      <c r="A3" s="41" t="s">
        <v>74</v>
      </c>
      <c r="B3" s="42">
        <v>114141604830</v>
      </c>
      <c r="C3" s="43">
        <v>100161321</v>
      </c>
      <c r="D3" s="41" t="s">
        <v>75</v>
      </c>
      <c r="E3" s="42" t="s">
        <v>76</v>
      </c>
      <c r="F3" s="44">
        <v>1</v>
      </c>
      <c r="G3" s="45">
        <v>37705.98</v>
      </c>
      <c r="H3" s="46">
        <v>42600</v>
      </c>
      <c r="I3" s="43">
        <v>48</v>
      </c>
      <c r="J3" s="47">
        <v>37705.98</v>
      </c>
      <c r="K3" s="45">
        <v>0</v>
      </c>
      <c r="L3" s="43">
        <v>111160</v>
      </c>
      <c r="M3" s="41" t="s">
        <v>77</v>
      </c>
      <c r="N3" s="41" t="s">
        <v>78</v>
      </c>
      <c r="O3" s="41" t="s">
        <v>79</v>
      </c>
      <c r="P3" s="41" t="s">
        <v>80</v>
      </c>
    </row>
    <row r="4" spans="1:16">
      <c r="A4" s="48" t="s">
        <v>74</v>
      </c>
      <c r="B4" s="49"/>
      <c r="C4" s="50"/>
      <c r="D4" s="50"/>
      <c r="E4" s="50"/>
      <c r="F4" s="50">
        <f t="shared" ref="F4:K4" si="0">SUM(F3)</f>
        <v>1</v>
      </c>
      <c r="G4" s="50">
        <f t="shared" si="0"/>
        <v>37705.98</v>
      </c>
      <c r="H4" s="50"/>
      <c r="I4" s="50"/>
      <c r="J4" s="50">
        <f t="shared" si="0"/>
        <v>37705.98</v>
      </c>
      <c r="K4" s="50">
        <f t="shared" si="0"/>
        <v>0</v>
      </c>
      <c r="L4" s="50"/>
      <c r="M4" s="50"/>
      <c r="N4" s="50"/>
      <c r="O4" s="50"/>
      <c r="P4" s="50"/>
    </row>
    <row r="5" ht="17.55" spans="1:16">
      <c r="A5" s="51" t="s">
        <v>36</v>
      </c>
      <c r="B5" s="52"/>
      <c r="C5" s="53"/>
      <c r="D5" s="53"/>
      <c r="E5" s="53"/>
      <c r="F5" s="53">
        <f t="shared" ref="F5:K5" si="1">SUM(F4)</f>
        <v>1</v>
      </c>
      <c r="G5" s="54">
        <f t="shared" si="1"/>
        <v>37705.98</v>
      </c>
      <c r="H5" s="53"/>
      <c r="I5" s="53"/>
      <c r="J5" s="54">
        <f t="shared" si="1"/>
        <v>37705.98</v>
      </c>
      <c r="K5" s="54">
        <f t="shared" si="1"/>
        <v>0</v>
      </c>
      <c r="L5" s="55"/>
      <c r="M5" s="55"/>
      <c r="N5" s="53"/>
      <c r="O5" s="53"/>
      <c r="P5" s="53"/>
    </row>
    <row r="6" ht="17.5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2" sqref="A2"/>
    </sheetView>
  </sheetViews>
  <sheetFormatPr defaultColWidth="9" defaultRowHeight="16.8" outlineLevelRow="6"/>
  <sheetData>
    <row r="1" ht="17.55" spans="1:16">
      <c r="A1" s="1" t="s">
        <v>81</v>
      </c>
      <c r="B1" s="2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6"/>
    </row>
    <row r="2" ht="31" spans="1:16">
      <c r="A2" s="7" t="s">
        <v>60</v>
      </c>
      <c r="B2" s="8" t="s">
        <v>61</v>
      </c>
      <c r="C2" s="7" t="s">
        <v>62</v>
      </c>
      <c r="D2" s="7" t="s">
        <v>63</v>
      </c>
      <c r="E2" s="7" t="s">
        <v>64</v>
      </c>
      <c r="F2" s="9" t="s">
        <v>14</v>
      </c>
      <c r="G2" s="10" t="s">
        <v>15</v>
      </c>
      <c r="H2" s="10" t="s">
        <v>65</v>
      </c>
      <c r="I2" s="11" t="s">
        <v>66</v>
      </c>
      <c r="J2" s="10" t="s">
        <v>67</v>
      </c>
      <c r="K2" s="10" t="s">
        <v>68</v>
      </c>
      <c r="L2" s="7" t="s">
        <v>69</v>
      </c>
      <c r="M2" s="7" t="s">
        <v>70</v>
      </c>
      <c r="N2" s="7" t="s">
        <v>71</v>
      </c>
      <c r="O2" s="7" t="s">
        <v>72</v>
      </c>
      <c r="P2" s="7" t="s">
        <v>73</v>
      </c>
    </row>
    <row r="3" spans="1:16">
      <c r="A3" s="12" t="s">
        <v>82</v>
      </c>
      <c r="B3" s="13">
        <v>114121701379</v>
      </c>
      <c r="C3" s="14">
        <v>100167729</v>
      </c>
      <c r="D3" s="12" t="s">
        <v>83</v>
      </c>
      <c r="E3" s="13" t="s">
        <v>84</v>
      </c>
      <c r="F3" s="15">
        <v>1</v>
      </c>
      <c r="G3" s="16">
        <v>6538.46</v>
      </c>
      <c r="H3" s="17">
        <v>42970</v>
      </c>
      <c r="I3" s="14">
        <v>48</v>
      </c>
      <c r="J3" s="18">
        <v>6538.46</v>
      </c>
      <c r="K3" s="16">
        <v>0</v>
      </c>
      <c r="L3" s="14">
        <v>114278</v>
      </c>
      <c r="M3" s="12" t="s">
        <v>85</v>
      </c>
      <c r="N3" s="12" t="s">
        <v>86</v>
      </c>
      <c r="O3" s="12" t="s">
        <v>87</v>
      </c>
      <c r="P3" s="12" t="s">
        <v>88</v>
      </c>
    </row>
    <row r="4" spans="1:16">
      <c r="A4" s="12" t="s">
        <v>82</v>
      </c>
      <c r="B4" s="13">
        <v>114121701450</v>
      </c>
      <c r="C4" s="14">
        <v>100167950</v>
      </c>
      <c r="D4" s="12" t="s">
        <v>83</v>
      </c>
      <c r="E4" s="13" t="s">
        <v>84</v>
      </c>
      <c r="F4" s="15">
        <v>1</v>
      </c>
      <c r="G4" s="16">
        <v>6538.46</v>
      </c>
      <c r="H4" s="17">
        <v>42970</v>
      </c>
      <c r="I4" s="14">
        <v>48</v>
      </c>
      <c r="J4" s="18">
        <v>6538.46</v>
      </c>
      <c r="K4" s="16">
        <v>0</v>
      </c>
      <c r="L4" s="14">
        <v>114278</v>
      </c>
      <c r="M4" s="12" t="s">
        <v>85</v>
      </c>
      <c r="N4" s="12" t="s">
        <v>86</v>
      </c>
      <c r="O4" s="12" t="s">
        <v>87</v>
      </c>
      <c r="P4" s="12" t="s">
        <v>89</v>
      </c>
    </row>
    <row r="5" spans="1:16">
      <c r="A5" s="19" t="s">
        <v>82</v>
      </c>
      <c r="B5" s="20"/>
      <c r="C5" s="21"/>
      <c r="D5" s="21"/>
      <c r="E5" s="21"/>
      <c r="F5" s="21">
        <f t="shared" ref="F5:K5" si="0">SUM(F3:F4)</f>
        <v>2</v>
      </c>
      <c r="G5" s="22">
        <f t="shared" si="0"/>
        <v>13076.92</v>
      </c>
      <c r="H5" s="21"/>
      <c r="I5" s="21"/>
      <c r="J5" s="22">
        <f t="shared" si="0"/>
        <v>13076.92</v>
      </c>
      <c r="K5" s="22">
        <f t="shared" si="0"/>
        <v>0</v>
      </c>
      <c r="L5" s="21"/>
      <c r="M5" s="21"/>
      <c r="N5" s="21"/>
      <c r="O5" s="21"/>
      <c r="P5" s="21"/>
    </row>
    <row r="6" ht="17.55" spans="1:16">
      <c r="A6" s="23" t="s">
        <v>36</v>
      </c>
      <c r="B6" s="24"/>
      <c r="C6" s="25"/>
      <c r="D6" s="25"/>
      <c r="E6" s="25"/>
      <c r="F6" s="25">
        <f t="shared" ref="F6:K6" si="1">SUM(F5)</f>
        <v>2</v>
      </c>
      <c r="G6" s="26">
        <f t="shared" si="1"/>
        <v>13076.92</v>
      </c>
      <c r="H6" s="25"/>
      <c r="I6" s="25"/>
      <c r="J6" s="26">
        <f t="shared" si="1"/>
        <v>13076.92</v>
      </c>
      <c r="K6" s="26">
        <f t="shared" si="1"/>
        <v>0</v>
      </c>
      <c r="L6" s="27"/>
      <c r="M6" s="27"/>
      <c r="N6" s="25"/>
      <c r="O6" s="25"/>
      <c r="P6" s="25"/>
    </row>
    <row r="7" ht="17.5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6"/>
    </sheetView>
  </sheetViews>
  <sheetFormatPr defaultColWidth="9" defaultRowHeight="16.8" outlineLevelRow="6"/>
  <cols>
    <col min="1" max="1" width="9.375" customWidth="1"/>
    <col min="2" max="2" width="12.125" customWidth="1"/>
    <col min="3" max="3" width="9.25" customWidth="1"/>
    <col min="4" max="4" width="18.625" customWidth="1"/>
    <col min="5" max="5" width="16.25" customWidth="1"/>
    <col min="6" max="6" width="4.875" customWidth="1"/>
    <col min="7" max="7" width="11.5" customWidth="1"/>
    <col min="8" max="8" width="9.25" customWidth="1"/>
    <col min="9" max="9" width="7.625" customWidth="1"/>
    <col min="10" max="10" width="11.5" customWidth="1"/>
    <col min="11" max="11" width="6.375" customWidth="1"/>
    <col min="12" max="13" width="10.125" customWidth="1"/>
    <col min="14" max="16" width="12.125" customWidth="1"/>
  </cols>
  <sheetData>
    <row r="1" ht="17.55" spans="1:16">
      <c r="A1" s="1" t="s">
        <v>90</v>
      </c>
      <c r="B1" s="2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6"/>
    </row>
    <row r="2" ht="46" spans="1:16">
      <c r="A2" s="7" t="s">
        <v>60</v>
      </c>
      <c r="B2" s="8" t="s">
        <v>61</v>
      </c>
      <c r="C2" s="7" t="s">
        <v>62</v>
      </c>
      <c r="D2" s="7" t="s">
        <v>63</v>
      </c>
      <c r="E2" s="7" t="s">
        <v>64</v>
      </c>
      <c r="F2" s="9" t="s">
        <v>14</v>
      </c>
      <c r="G2" s="10" t="s">
        <v>15</v>
      </c>
      <c r="H2" s="10" t="s">
        <v>65</v>
      </c>
      <c r="I2" s="11" t="s">
        <v>66</v>
      </c>
      <c r="J2" s="10" t="s">
        <v>67</v>
      </c>
      <c r="K2" s="10" t="s">
        <v>68</v>
      </c>
      <c r="L2" s="7" t="s">
        <v>69</v>
      </c>
      <c r="M2" s="7" t="s">
        <v>70</v>
      </c>
      <c r="N2" s="7" t="s">
        <v>71</v>
      </c>
      <c r="O2" s="7" t="s">
        <v>72</v>
      </c>
      <c r="P2" s="7" t="s">
        <v>73</v>
      </c>
    </row>
    <row r="3" spans="1:16">
      <c r="A3" s="12" t="s">
        <v>82</v>
      </c>
      <c r="B3" s="13">
        <v>114121701379</v>
      </c>
      <c r="C3" s="14">
        <v>100167729</v>
      </c>
      <c r="D3" s="12" t="s">
        <v>83</v>
      </c>
      <c r="E3" s="13" t="s">
        <v>84</v>
      </c>
      <c r="F3" s="15">
        <v>1</v>
      </c>
      <c r="G3" s="16">
        <v>6538.46</v>
      </c>
      <c r="H3" s="17">
        <v>42970</v>
      </c>
      <c r="I3" s="14">
        <v>48</v>
      </c>
      <c r="J3" s="18">
        <v>6538.46</v>
      </c>
      <c r="K3" s="16">
        <v>0</v>
      </c>
      <c r="L3" s="14">
        <v>114278</v>
      </c>
      <c r="M3" s="12" t="s">
        <v>85</v>
      </c>
      <c r="N3" s="12" t="s">
        <v>86</v>
      </c>
      <c r="O3" s="12" t="s">
        <v>87</v>
      </c>
      <c r="P3" s="12" t="s">
        <v>88</v>
      </c>
    </row>
    <row r="4" spans="1:16">
      <c r="A4" s="12" t="s">
        <v>82</v>
      </c>
      <c r="B4" s="13">
        <v>114121701450</v>
      </c>
      <c r="C4" s="14">
        <v>100167950</v>
      </c>
      <c r="D4" s="12" t="s">
        <v>83</v>
      </c>
      <c r="E4" s="13" t="s">
        <v>84</v>
      </c>
      <c r="F4" s="15">
        <v>1</v>
      </c>
      <c r="G4" s="16">
        <v>6538.46</v>
      </c>
      <c r="H4" s="17">
        <v>42970</v>
      </c>
      <c r="I4" s="14">
        <v>48</v>
      </c>
      <c r="J4" s="18">
        <v>6538.46</v>
      </c>
      <c r="K4" s="16">
        <v>0</v>
      </c>
      <c r="L4" s="14">
        <v>114278</v>
      </c>
      <c r="M4" s="12" t="s">
        <v>85</v>
      </c>
      <c r="N4" s="12" t="s">
        <v>86</v>
      </c>
      <c r="O4" s="12" t="s">
        <v>87</v>
      </c>
      <c r="P4" s="12" t="s">
        <v>89</v>
      </c>
    </row>
    <row r="5" spans="1:16">
      <c r="A5" s="19" t="s">
        <v>82</v>
      </c>
      <c r="B5" s="20"/>
      <c r="C5" s="21"/>
      <c r="D5" s="21"/>
      <c r="E5" s="21"/>
      <c r="F5" s="21">
        <f t="shared" ref="F5:K5" si="0">SUM(F3:F4)</f>
        <v>2</v>
      </c>
      <c r="G5" s="22">
        <f t="shared" si="0"/>
        <v>13076.92</v>
      </c>
      <c r="H5" s="21"/>
      <c r="I5" s="21"/>
      <c r="J5" s="22">
        <f t="shared" si="0"/>
        <v>13076.92</v>
      </c>
      <c r="K5" s="22">
        <f t="shared" si="0"/>
        <v>0</v>
      </c>
      <c r="L5" s="21"/>
      <c r="M5" s="21"/>
      <c r="N5" s="21"/>
      <c r="O5" s="21"/>
      <c r="P5" s="21"/>
    </row>
    <row r="6" ht="17.55" spans="1:16">
      <c r="A6" s="23" t="s">
        <v>36</v>
      </c>
      <c r="B6" s="24"/>
      <c r="C6" s="25"/>
      <c r="D6" s="25"/>
      <c r="E6" s="25"/>
      <c r="F6" s="25">
        <f t="shared" ref="F6:K6" si="1">SUM(F5)</f>
        <v>2</v>
      </c>
      <c r="G6" s="26">
        <f t="shared" si="1"/>
        <v>13076.92</v>
      </c>
      <c r="H6" s="25"/>
      <c r="I6" s="25"/>
      <c r="J6" s="26">
        <f t="shared" si="1"/>
        <v>13076.92</v>
      </c>
      <c r="K6" s="26">
        <f t="shared" si="1"/>
        <v>0</v>
      </c>
      <c r="L6" s="27"/>
      <c r="M6" s="27"/>
      <c r="N6" s="25"/>
      <c r="O6" s="25"/>
      <c r="P6" s="25"/>
    </row>
    <row r="7" ht="17.5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北京分公司</Company>
  <Application>WPS Office WWO_wpscloud_20260407155826-e80b80775d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已到报废期</vt:lpstr>
      <vt:lpstr>未到报废期</vt:lpstr>
      <vt:lpstr>丢失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qixingzhou</dc:creator>
  <cp:lastModifiedBy>WPS_1782841864</cp:lastModifiedBy>
  <dcterms:created xsi:type="dcterms:W3CDTF">2026-04-28T17:42:00Z</dcterms:created>
  <dcterms:modified xsi:type="dcterms:W3CDTF">2026-10-22T16:16:02Z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8BC9D5BDA41FC53129C6D96AFC2BED9C_43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